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https://d.docs.live.net/2a002f16a181c313/Desktop/Excel Projects/"/>
    </mc:Choice>
  </mc:AlternateContent>
  <xr:revisionPtr revIDLastSave="1174" documentId="8_{916DEB3E-874D-4BFE-A82F-C900FB0D41FC}" xr6:coauthVersionLast="47" xr6:coauthVersionMax="47" xr10:uidLastSave="{B84C0809-1DC1-49F2-8719-E8A996A4A22D}"/>
  <bookViews>
    <workbookView xWindow="-108" yWindow="-108" windowWidth="23256" windowHeight="12456" activeTab="1" xr2:uid="{B1DF52C3-651A-4462-8DE0-8462B11E675C}"/>
  </bookViews>
  <sheets>
    <sheet name="Pivot Report" sheetId="1" r:id="rId1"/>
    <sheet name="Dashboard" sheetId="2" r:id="rId2"/>
    <sheet name="Daily ER Patients" sheetId="3" r:id="rId3"/>
    <sheet name="Daily Patients Waittime" sheetId="5" r:id="rId4"/>
    <sheet name="Patients Satisfaction Score" sheetId="6" r:id="rId5"/>
  </sheets>
  <definedNames>
    <definedName name="Slicer_Date__Month">#N/A</definedName>
    <definedName name="Slicer_Date__Year">#N/A</definedName>
  </definedNames>
  <calcPr calcId="191029"/>
  <pivotCaches>
    <pivotCache cacheId="447" r:id="rId6"/>
    <pivotCache cacheId="450" r:id="rId7"/>
    <pivotCache cacheId="453" r:id="rId8"/>
    <pivotCache cacheId="456" r:id="rId9"/>
    <pivotCache cacheId="459" r:id="rId10"/>
    <pivotCache cacheId="462" r:id="rId11"/>
    <pivotCache cacheId="465" r:id="rId12"/>
    <pivotCache cacheId="468" r:id="rId13"/>
    <pivotCache cacheId="471" r:id="rId14"/>
    <pivotCache cacheId="474" r:id="rId15"/>
    <pivotCache cacheId="477" r:id="rId16"/>
    <pivotCache cacheId="480"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bf36fa2d-11da-4ec2-9976-ab873999abe1" name="Hospital Emergency Room Data" connection="Query - Hospital Emergency Room Data"/>
          <x15:modelTable id="calendar_Table_65efe2eb-aab2-4750-913f-67291f83cf6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5" i="1" l="1"/>
  <c r="M15" i="1"/>
  <c r="N15" i="1"/>
  <c r="M16" i="1"/>
  <c r="N16" i="1"/>
  <c r="L1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07EB03-A0DB-4278-8032-1029A459D9D2}" name="Query - calendar_Table" description="Connection to the 'calendar_Table' query in the workbook." type="100" refreshedVersion="8" minRefreshableVersion="5">
    <extLst>
      <ext xmlns:x15="http://schemas.microsoft.com/office/spreadsheetml/2010/11/main" uri="{DE250136-89BD-433C-8126-D09CA5730AF9}">
        <x15:connection id="33404a1a-4854-48d4-93bb-d327f29eb4b7"/>
      </ext>
    </extLst>
  </connection>
  <connection id="2" xr16:uid="{62D1D8B2-DBCF-4A9F-A7B1-AF2C9787872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70a1ac1d-093f-41fa-b218-8dbc03ae6457"/>
      </ext>
    </extLst>
  </connection>
  <connection id="3" xr16:uid="{AB5173B5-8F95-4F25-B605-AA81CD7A969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<sst xmlns="http://schemas.openxmlformats.org/spreadsheetml/2006/main" count="146" uniqueCount="67">
  <si>
    <t>Average of Patient Waittime</t>
  </si>
  <si>
    <t>Average of Patient Satisfaction Score</t>
  </si>
  <si>
    <t>Number Of Patients</t>
  </si>
  <si>
    <t>Row Labels</t>
  </si>
  <si>
    <t>Grand Total</t>
  </si>
  <si>
    <t>Male</t>
  </si>
  <si>
    <t>None</t>
  </si>
  <si>
    <t>Admitted</t>
  </si>
  <si>
    <t>60-69</t>
  </si>
  <si>
    <t>Delay</t>
  </si>
  <si>
    <t>Female</t>
  </si>
  <si>
    <t>40-49</t>
  </si>
  <si>
    <t>Not Admitted</t>
  </si>
  <si>
    <t>70-79</t>
  </si>
  <si>
    <t>OnTime</t>
  </si>
  <si>
    <t>20-29</t>
  </si>
  <si>
    <t>50-59</t>
  </si>
  <si>
    <t>30-39</t>
  </si>
  <si>
    <t>0-09</t>
  </si>
  <si>
    <t>10-19</t>
  </si>
  <si>
    <t>General Practice</t>
  </si>
  <si>
    <t>Physiotherapy</t>
  </si>
  <si>
    <t>Cardiology</t>
  </si>
  <si>
    <t>Gastroenterology</t>
  </si>
  <si>
    <t>Orthopedics</t>
  </si>
  <si>
    <t>Count of Patient Admission Flag</t>
  </si>
  <si>
    <t>Count of Patient Admission Flag2</t>
  </si>
  <si>
    <t>Admission Status</t>
  </si>
  <si>
    <t>% Status</t>
  </si>
  <si>
    <t>Patients</t>
  </si>
  <si>
    <t>Count of Age Group</t>
  </si>
  <si>
    <t>Count of Patient Attend Status</t>
  </si>
  <si>
    <t>Count of Patient Gender</t>
  </si>
  <si>
    <t>Neurology</t>
  </si>
  <si>
    <t>Renal</t>
  </si>
  <si>
    <t>Count of Department Referral</t>
  </si>
  <si>
    <t>2024</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</si>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</sst>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theme="1" tint="4.9989318521683403E-2"/>
      <name val="Calibri"/>
      <family val="2"/>
      <scheme val="minor"/>
    </font>
  </fonts>
  <fills count="5">
    <fill>
      <patternFill patternType="none"/>
    </fill>
    <fill>
      <patternFill patternType="gray125"/>
    </fill>
    <fill>
      <patternFill patternType="solid">
        <fgColor theme="4" tint="0.39997558519241921"/>
        <bgColor indexed="65"/>
      </patternFill>
    </fill>
    <fill>
      <patternFill patternType="solid">
        <fgColor theme="1" tint="0.14999847407452621"/>
        <bgColor indexed="64"/>
      </patternFill>
    </fill>
    <fill>
      <patternFill patternType="solid">
        <fgColor theme="0"/>
        <bgColor indexed="64"/>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2">
    <xf numFmtId="0" fontId="0" fillId="0" borderId="0" xfId="0"/>
    <xf numFmtId="0" fontId="0" fillId="0" borderId="0" xfId="0" pivotButton="1"/>
    <xf numFmtId="2" fontId="0" fillId="0" borderId="0" xfId="0" applyNumberFormat="1"/>
    <xf numFmtId="0" fontId="0" fillId="3" borderId="0" xfId="0" applyFill="1"/>
    <xf numFmtId="0" fontId="0" fillId="0" borderId="0" xfId="0" applyAlignment="1">
      <alignment horizontal="left"/>
    </xf>
    <xf numFmtId="0" fontId="2" fillId="0" borderId="0" xfId="0" applyFont="1"/>
    <xf numFmtId="10" fontId="0" fillId="0" borderId="0" xfId="0" applyNumberFormat="1"/>
    <xf numFmtId="0" fontId="1" fillId="2" borderId="0" xfId="1" applyAlignment="1">
      <alignment horizontal="center" vertical="center"/>
    </xf>
    <xf numFmtId="0" fontId="1" fillId="2" borderId="0" xfId="1"/>
    <xf numFmtId="0" fontId="0" fillId="4" borderId="0" xfId="0" applyFill="1"/>
    <xf numFmtId="1" fontId="0" fillId="0" borderId="0" xfId="0" applyNumberFormat="1"/>
    <xf numFmtId="0" fontId="0" fillId="0" borderId="0" xfId="0" applyNumberFormat="1"/>
  </cellXfs>
  <cellStyles count="2">
    <cellStyle name="60% - Accent1" xfId="1" builtinId="32"/>
    <cellStyle name="Normal" xfId="0" builtinId="0"/>
  </cellStyles>
  <dxfs count="198">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font>
        <b/>
        <color theme="1"/>
      </font>
      <border>
        <bottom style="thin">
          <color theme="5"/>
        </bottom>
        <vertical/>
        <horizontal/>
      </border>
    </dxf>
    <dxf>
      <font>
        <sz val="11"/>
        <color theme="1"/>
      </font>
      <fill>
        <patternFill>
          <bgColor theme="0"/>
        </patternFill>
      </fill>
      <border diagonalUp="0" diagonalDown="0">
        <left/>
        <right/>
        <top/>
        <bottom/>
        <vertical/>
        <horizontal/>
      </border>
    </dxf>
  </dxfs>
  <tableStyles count="1" defaultTableStyle="TableStyleMedium2" defaultPivotStyle="PivotStyleLight16">
    <tableStyle name="My Style" pivot="0" table="0" count="10" xr9:uid="{E25FDC8B-E0A9-4DEA-B3F7-2B3DFF05E861}">
      <tableStyleElement type="wholeTable" dxfId="197"/>
      <tableStyleElement type="headerRow" dxfId="19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2A57751-93E9-4EC4-8A58-8E813314F205}" type="CELLRANGE">
                  <a:rPr lang="en-US"/>
                  <a:pPr>
                    <a:defRPr/>
                  </a:pPr>
                  <a:t>[CELLRANGE]</a:t>
                </a:fld>
                <a:endParaRPr lang="en-IN"/>
              </a:p>
            </c:rich>
          </c:tx>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493DF73-5E63-4C6B-BB05-4FE65099A5CA}" type="CELLRANGE">
                  <a:rPr lang="en-US"/>
                  <a:pPr>
                    <a:defRPr/>
                  </a:pPr>
                  <a:t>[CELLRANGE]</a:t>
                </a:fld>
                <a:endParaRPr lang="en-IN"/>
              </a:p>
            </c:rich>
          </c:tx>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30807874015748032"/>
          <c:y val="0.20370370370370369"/>
          <c:w val="0.32570078740157488"/>
          <c:h val="0.63986393148224896"/>
        </c:manualLayout>
      </c:layout>
      <c:barChart>
        <c:barDir val="bar"/>
        <c:grouping val="clustered"/>
        <c:varyColors val="0"/>
        <c:ser>
          <c:idx val="0"/>
          <c:order val="0"/>
          <c:tx>
            <c:strRef>
              <c:f>'Pivot Report'!$M$4</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16D-4B70-9D72-A51E9A2E9125}"/>
              </c:ext>
            </c:extLst>
          </c:dPt>
          <c:dPt>
            <c:idx val="1"/>
            <c:invertIfNegative val="0"/>
            <c:bubble3D val="0"/>
            <c:extLst>
              <c:ext xmlns:c16="http://schemas.microsoft.com/office/drawing/2014/chart" uri="{C3380CC4-5D6E-409C-BE32-E72D297353CC}">
                <c16:uniqueId val="{00000001-D16D-4B70-9D72-A51E9A2E9125}"/>
              </c:ext>
            </c:extLst>
          </c:dPt>
          <c:dLbls>
            <c:dLbl>
              <c:idx val="0"/>
              <c:tx>
                <c:rich>
                  <a:bodyPr/>
                  <a:lstStyle/>
                  <a:p>
                    <a:fld id="{72A57751-93E9-4EC4-8A58-8E813314F205}"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16D-4B70-9D72-A51E9A2E9125}"/>
                </c:ext>
              </c:extLst>
            </c:dLbl>
            <c:dLbl>
              <c:idx val="1"/>
              <c:tx>
                <c:rich>
                  <a:bodyPr/>
                  <a:lstStyle/>
                  <a:p>
                    <a:fld id="{2493DF73-5E63-4C6B-BB05-4FE65099A5CA}"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16D-4B70-9D72-A51E9A2E9125}"/>
                </c:ext>
              </c:extLst>
            </c:dLbl>
            <c:spPr>
              <a:noFill/>
              <a:ln>
                <a:noFill/>
              </a:ln>
              <a:effectLst>
                <a:softEdge rad="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Report'!$L$5:$L$7</c:f>
              <c:strCache>
                <c:ptCount val="2"/>
                <c:pt idx="0">
                  <c:v>Admitted</c:v>
                </c:pt>
                <c:pt idx="1">
                  <c:v>Not Admitted</c:v>
                </c:pt>
              </c:strCache>
            </c:strRef>
          </c:cat>
          <c:val>
            <c:numRef>
              <c:f>'Pivot Report'!$M$5:$M$7</c:f>
              <c:numCache>
                <c:formatCode>0.00</c:formatCode>
                <c:ptCount val="2"/>
                <c:pt idx="0">
                  <c:v>235</c:v>
                </c:pt>
                <c:pt idx="1">
                  <c:v>250</c:v>
                </c:pt>
              </c:numCache>
            </c:numRef>
          </c:val>
          <c:extLst>
            <c:ext xmlns:c16="http://schemas.microsoft.com/office/drawing/2014/chart" uri="{C3380CC4-5D6E-409C-BE32-E72D297353CC}">
              <c16:uniqueId val="{00000002-2475-4ADF-853A-214EAB778FFD}"/>
            </c:ext>
          </c:extLst>
        </c:ser>
        <c:ser>
          <c:idx val="1"/>
          <c:order val="1"/>
          <c:tx>
            <c:strRef>
              <c:f>'Pivot Report'!$N$4</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Report'!$L$5:$L$7</c:f>
              <c:strCache>
                <c:ptCount val="2"/>
                <c:pt idx="0">
                  <c:v>Admitted</c:v>
                </c:pt>
                <c:pt idx="1">
                  <c:v>Not Admitted</c:v>
                </c:pt>
              </c:strCache>
            </c:strRef>
          </c:cat>
          <c:val>
            <c:numRef>
              <c:f>'Pivot Report'!$N$5:$N$7</c:f>
              <c:numCache>
                <c:formatCode>0.00%</c:formatCode>
                <c:ptCount val="2"/>
                <c:pt idx="0">
                  <c:v>0.4845360824742268</c:v>
                </c:pt>
                <c:pt idx="1">
                  <c:v>0.51546391752577314</c:v>
                </c:pt>
              </c:numCache>
            </c:numRef>
          </c:val>
          <c:extLst>
            <c:ext xmlns:c16="http://schemas.microsoft.com/office/drawing/2014/chart" uri="{C3380CC4-5D6E-409C-BE32-E72D297353CC}">
              <c16:uniqueId val="{00000003-2475-4ADF-853A-214EAB778FFD}"/>
            </c:ext>
          </c:extLst>
        </c:ser>
        <c:dLbls>
          <c:dLblPos val="outEnd"/>
          <c:showLegendKey val="0"/>
          <c:showVal val="1"/>
          <c:showCatName val="0"/>
          <c:showSerName val="0"/>
          <c:showPercent val="0"/>
          <c:showBubbleSize val="0"/>
        </c:dLbls>
        <c:gapWidth val="120"/>
        <c:overlap val="40"/>
        <c:axId val="633093472"/>
        <c:axId val="633091072"/>
      </c:barChart>
      <c:catAx>
        <c:axId val="633093472"/>
        <c:scaling>
          <c:orientation val="minMax"/>
        </c:scaling>
        <c:delete val="1"/>
        <c:axPos val="l"/>
        <c:numFmt formatCode="General" sourceLinked="1"/>
        <c:majorTickMark val="out"/>
        <c:minorTickMark val="none"/>
        <c:tickLblPos val="nextTo"/>
        <c:crossAx val="633091072"/>
        <c:crosses val="autoZero"/>
        <c:auto val="1"/>
        <c:lblAlgn val="ctr"/>
        <c:lblOffset val="100"/>
        <c:noMultiLvlLbl val="0"/>
      </c:catAx>
      <c:valAx>
        <c:axId val="633091072"/>
        <c:scaling>
          <c:orientation val="minMax"/>
        </c:scaling>
        <c:delete val="1"/>
        <c:axPos val="b"/>
        <c:numFmt formatCode="0.00" sourceLinked="1"/>
        <c:majorTickMark val="out"/>
        <c:minorTickMark val="none"/>
        <c:tickLblPos val="nextTo"/>
        <c:crossAx val="6330934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783464566929133E-3"/>
          <c:y val="6.0790724354458432E-2"/>
          <c:w val="0.94055523242955619"/>
          <c:h val="0.9113238251295227"/>
        </c:manualLayout>
      </c:layout>
      <c:areaChart>
        <c:grouping val="standard"/>
        <c:varyColors val="0"/>
        <c:ser>
          <c:idx val="0"/>
          <c:order val="0"/>
          <c:tx>
            <c:strRef>
              <c:f>'Pivot Report'!$D$4</c:f>
              <c:strCache>
                <c:ptCount val="1"/>
                <c:pt idx="0">
                  <c:v>Total</c:v>
                </c:pt>
              </c:strCache>
            </c:strRef>
          </c:tx>
          <c:spPr>
            <a:solidFill>
              <a:schemeClr val="accent1">
                <a:lumMod val="50000"/>
              </a:schemeClr>
            </a:solidFill>
            <a:ln w="25400">
              <a:noFill/>
            </a:ln>
            <a:effectLst/>
          </c:spPr>
          <c:cat>
            <c:strRef>
              <c:f>'Pivot Report'!$C$5:$C$35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Report'!$D$5:$D$35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6AE3-4957-9161-A8242446702A}"/>
            </c:ext>
          </c:extLst>
        </c:ser>
        <c:dLbls>
          <c:showLegendKey val="0"/>
          <c:showVal val="0"/>
          <c:showCatName val="0"/>
          <c:showSerName val="0"/>
          <c:showPercent val="0"/>
          <c:showBubbleSize val="0"/>
        </c:dLbls>
        <c:axId val="489472544"/>
        <c:axId val="489476864"/>
      </c:areaChart>
      <c:catAx>
        <c:axId val="489472544"/>
        <c:scaling>
          <c:orientation val="minMax"/>
        </c:scaling>
        <c:delete val="1"/>
        <c:axPos val="b"/>
        <c:numFmt formatCode="General" sourceLinked="1"/>
        <c:majorTickMark val="out"/>
        <c:minorTickMark val="none"/>
        <c:tickLblPos val="nextTo"/>
        <c:crossAx val="489476864"/>
        <c:crosses val="autoZero"/>
        <c:auto val="1"/>
        <c:lblAlgn val="ctr"/>
        <c:lblOffset val="100"/>
        <c:noMultiLvlLbl val="0"/>
      </c:catAx>
      <c:valAx>
        <c:axId val="489476864"/>
        <c:scaling>
          <c:orientation val="minMax"/>
        </c:scaling>
        <c:delete val="1"/>
        <c:axPos val="l"/>
        <c:numFmt formatCode="General" sourceLinked="1"/>
        <c:majorTickMark val="out"/>
        <c:minorTickMark val="none"/>
        <c:tickLblPos val="nextTo"/>
        <c:crossAx val="48947254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66622678888133E-2"/>
          <c:y val="0.21041057926921108"/>
          <c:w val="0.84901492234049569"/>
          <c:h val="0.57917884146157783"/>
        </c:manualLayout>
      </c:layout>
      <c:areaChart>
        <c:grouping val="standard"/>
        <c:varyColors val="0"/>
        <c:ser>
          <c:idx val="0"/>
          <c:order val="0"/>
          <c:tx>
            <c:strRef>
              <c:f>'Pivot Report'!$G$4</c:f>
              <c:strCache>
                <c:ptCount val="1"/>
                <c:pt idx="0">
                  <c:v>Total</c:v>
                </c:pt>
              </c:strCache>
            </c:strRef>
          </c:tx>
          <c:spPr>
            <a:solidFill>
              <a:schemeClr val="accent1">
                <a:lumMod val="50000"/>
              </a:schemeClr>
            </a:solidFill>
            <a:ln w="25400">
              <a:noFill/>
            </a:ln>
            <a:effectLst/>
          </c:spPr>
          <c:cat>
            <c:strRef>
              <c:f>'Pivot Report'!$F$5:$F$35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Report'!$G$5:$G$35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54A7-48BF-BE6B-C1FC94BF3B68}"/>
            </c:ext>
          </c:extLst>
        </c:ser>
        <c:dLbls>
          <c:showLegendKey val="0"/>
          <c:showVal val="0"/>
          <c:showCatName val="0"/>
          <c:showSerName val="0"/>
          <c:showPercent val="0"/>
          <c:showBubbleSize val="0"/>
        </c:dLbls>
        <c:axId val="739587136"/>
        <c:axId val="739600576"/>
      </c:areaChart>
      <c:catAx>
        <c:axId val="739587136"/>
        <c:scaling>
          <c:orientation val="minMax"/>
        </c:scaling>
        <c:delete val="1"/>
        <c:axPos val="b"/>
        <c:numFmt formatCode="General" sourceLinked="1"/>
        <c:majorTickMark val="out"/>
        <c:minorTickMark val="none"/>
        <c:tickLblPos val="nextTo"/>
        <c:crossAx val="739600576"/>
        <c:crosses val="autoZero"/>
        <c:auto val="1"/>
        <c:lblAlgn val="ctr"/>
        <c:lblOffset val="100"/>
        <c:noMultiLvlLbl val="0"/>
      </c:catAx>
      <c:valAx>
        <c:axId val="739600576"/>
        <c:scaling>
          <c:orientation val="minMax"/>
        </c:scaling>
        <c:delete val="1"/>
        <c:axPos val="l"/>
        <c:numFmt formatCode="0.00" sourceLinked="1"/>
        <c:majorTickMark val="none"/>
        <c:minorTickMark val="none"/>
        <c:tickLblPos val="nextTo"/>
        <c:crossAx val="73958713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solidFill>
              <a:schemeClr val="accent1">
                <a:lumMod val="50000"/>
              </a:schemeClr>
            </a:solidFill>
            <a:ln w="25400">
              <a:noFill/>
            </a:ln>
            <a:effectLst/>
          </c:spPr>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71F8-4FF1-A788-E96416DC4600}"/>
            </c:ext>
          </c:extLst>
        </c:ser>
        <c:dLbls>
          <c:showLegendKey val="0"/>
          <c:showVal val="0"/>
          <c:showCatName val="0"/>
          <c:showSerName val="0"/>
          <c:showPercent val="0"/>
          <c:showBubbleSize val="0"/>
        </c:dLbls>
        <c:axId val="715252800"/>
        <c:axId val="715269600"/>
      </c:areaChart>
      <c:catAx>
        <c:axId val="715252800"/>
        <c:scaling>
          <c:orientation val="minMax"/>
        </c:scaling>
        <c:delete val="1"/>
        <c:axPos val="b"/>
        <c:numFmt formatCode="General" sourceLinked="1"/>
        <c:majorTickMark val="out"/>
        <c:minorTickMark val="none"/>
        <c:tickLblPos val="nextTo"/>
        <c:crossAx val="715269600"/>
        <c:crosses val="autoZero"/>
        <c:auto val="1"/>
        <c:lblAlgn val="ctr"/>
        <c:lblOffset val="100"/>
        <c:noMultiLvlLbl val="0"/>
      </c:catAx>
      <c:valAx>
        <c:axId val="715269600"/>
        <c:scaling>
          <c:orientation val="minMax"/>
        </c:scaling>
        <c:delete val="1"/>
        <c:axPos val="l"/>
        <c:numFmt formatCode="0.00" sourceLinked="1"/>
        <c:majorTickMark val="none"/>
        <c:minorTickMark val="none"/>
        <c:tickLblPos val="nextTo"/>
        <c:crossAx val="71525280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16128701238065E-2"/>
          <c:y val="0.12354746606092738"/>
          <c:w val="0.88053764047730221"/>
          <c:h val="0.61127540870377306"/>
        </c:manualLayout>
      </c:layout>
      <c:barChart>
        <c:barDir val="col"/>
        <c:grouping val="clustered"/>
        <c:varyColors val="0"/>
        <c:ser>
          <c:idx val="0"/>
          <c:order val="0"/>
          <c:tx>
            <c:strRef>
              <c:f>'Pivot Report'!$R$3</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Report'!$Q$4:$Q$12</c:f>
              <c:strCache>
                <c:ptCount val="8"/>
                <c:pt idx="0">
                  <c:v>0-09</c:v>
                </c:pt>
                <c:pt idx="1">
                  <c:v>10-19</c:v>
                </c:pt>
                <c:pt idx="2">
                  <c:v>20-29</c:v>
                </c:pt>
                <c:pt idx="3">
                  <c:v>30-39</c:v>
                </c:pt>
                <c:pt idx="4">
                  <c:v>40-49</c:v>
                </c:pt>
                <c:pt idx="5">
                  <c:v>50-59</c:v>
                </c:pt>
                <c:pt idx="6">
                  <c:v>60-69</c:v>
                </c:pt>
                <c:pt idx="7">
                  <c:v>70-79</c:v>
                </c:pt>
              </c:strCache>
            </c:strRef>
          </c:cat>
          <c:val>
            <c:numRef>
              <c:f>'Pivot Report'!$R$4:$R$12</c:f>
              <c:numCache>
                <c:formatCode>0</c:formatCode>
                <c:ptCount val="8"/>
                <c:pt idx="0">
                  <c:v>59</c:v>
                </c:pt>
                <c:pt idx="1">
                  <c:v>55</c:v>
                </c:pt>
                <c:pt idx="2">
                  <c:v>69</c:v>
                </c:pt>
                <c:pt idx="3">
                  <c:v>64</c:v>
                </c:pt>
                <c:pt idx="4">
                  <c:v>56</c:v>
                </c:pt>
                <c:pt idx="5">
                  <c:v>60</c:v>
                </c:pt>
                <c:pt idx="6">
                  <c:v>51</c:v>
                </c:pt>
                <c:pt idx="7">
                  <c:v>71</c:v>
                </c:pt>
              </c:numCache>
            </c:numRef>
          </c:val>
          <c:extLst>
            <c:ext xmlns:c16="http://schemas.microsoft.com/office/drawing/2014/chart" uri="{C3380CC4-5D6E-409C-BE32-E72D297353CC}">
              <c16:uniqueId val="{00000000-4641-4CD3-9F05-E892B77576D0}"/>
            </c:ext>
          </c:extLst>
        </c:ser>
        <c:dLbls>
          <c:showLegendKey val="0"/>
          <c:showVal val="0"/>
          <c:showCatName val="0"/>
          <c:showSerName val="0"/>
          <c:showPercent val="0"/>
          <c:showBubbleSize val="0"/>
        </c:dLbls>
        <c:gapWidth val="219"/>
        <c:overlap val="-27"/>
        <c:axId val="580936016"/>
        <c:axId val="580950416"/>
      </c:barChart>
      <c:catAx>
        <c:axId val="5809360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580950416"/>
        <c:crosses val="autoZero"/>
        <c:auto val="1"/>
        <c:lblAlgn val="ctr"/>
        <c:lblOffset val="100"/>
        <c:noMultiLvlLbl val="0"/>
      </c:catAx>
      <c:valAx>
        <c:axId val="580950416"/>
        <c:scaling>
          <c:orientation val="minMax"/>
        </c:scaling>
        <c:delete val="1"/>
        <c:axPos val="l"/>
        <c:numFmt formatCode="0" sourceLinked="1"/>
        <c:majorTickMark val="out"/>
        <c:minorTickMark val="none"/>
        <c:tickLblPos val="nextTo"/>
        <c:crossAx val="5809360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3778034006592505"/>
              <c:y val="-6.094478803652005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2006403325706336"/>
              <c:y val="5.24188721977435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48908023545522"/>
          <c:y val="0.20189076919661569"/>
          <c:w val="0.64488027808980009"/>
          <c:h val="0.68935441704003664"/>
        </c:manualLayout>
      </c:layout>
      <c:pieChart>
        <c:varyColors val="1"/>
        <c:ser>
          <c:idx val="0"/>
          <c:order val="0"/>
          <c:tx>
            <c:strRef>
              <c:f>'Pivot Report'!$R$15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4E7-4C5E-B383-AE0DDDBF457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4E7-4C5E-B383-AE0DDDBF457E}"/>
              </c:ext>
            </c:extLst>
          </c:dPt>
          <c:dLbls>
            <c:dLbl>
              <c:idx val="0"/>
              <c:layout>
                <c:manualLayout>
                  <c:x val="-0.23778034006592505"/>
                  <c:y val="-6.09447880365200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4E7-4C5E-B383-AE0DDDBF457E}"/>
                </c:ext>
              </c:extLst>
            </c:dLbl>
            <c:dLbl>
              <c:idx val="1"/>
              <c:layout>
                <c:manualLayout>
                  <c:x val="0.22006403325706336"/>
                  <c:y val="5.24188721977435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E7-4C5E-B383-AE0DDDBF457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Report'!$Q$16:$Q$18</c:f>
              <c:strCache>
                <c:ptCount val="2"/>
                <c:pt idx="0">
                  <c:v>Delay</c:v>
                </c:pt>
                <c:pt idx="1">
                  <c:v>OnTime</c:v>
                </c:pt>
              </c:strCache>
            </c:strRef>
          </c:cat>
          <c:val>
            <c:numRef>
              <c:f>'Pivot Report'!$R$16:$R$18</c:f>
              <c:numCache>
                <c:formatCode>0</c:formatCode>
                <c:ptCount val="2"/>
                <c:pt idx="0">
                  <c:v>297</c:v>
                </c:pt>
                <c:pt idx="1">
                  <c:v>188</c:v>
                </c:pt>
              </c:numCache>
            </c:numRef>
          </c:val>
          <c:extLst>
            <c:ext xmlns:c16="http://schemas.microsoft.com/office/drawing/2014/chart" uri="{C3380CC4-5D6E-409C-BE32-E72D297353CC}">
              <c16:uniqueId val="{00000004-7138-4EF8-97BE-F3E9790E6F4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2795563561245052"/>
          <c:y val="7.5492345642899396E-3"/>
          <c:w val="0.87204407509071447"/>
          <c:h val="0.280739673862852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366302195150365"/>
          <c:y val="0.21200330345103577"/>
          <c:w val="0.61589683054808619"/>
          <c:h val="0.66031232396250983"/>
        </c:manualLayout>
      </c:layout>
      <c:doughnutChart>
        <c:varyColors val="1"/>
        <c:ser>
          <c:idx val="0"/>
          <c:order val="0"/>
          <c:tx>
            <c:strRef>
              <c:f>'Pivot Report'!$U$3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FCBB-486C-B721-1AEFE9BC30F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FCBB-486C-B721-1AEFE9BC30F7}"/>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B-486C-B721-1AEFE9BC30F7}"/>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B-486C-B721-1AEFE9BC30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Report'!$T$4:$T$6</c:f>
              <c:strCache>
                <c:ptCount val="2"/>
                <c:pt idx="0">
                  <c:v>Female</c:v>
                </c:pt>
                <c:pt idx="1">
                  <c:v>Male</c:v>
                </c:pt>
              </c:strCache>
            </c:strRef>
          </c:cat>
          <c:val>
            <c:numRef>
              <c:f>'Pivot Report'!$U$4:$U$6</c:f>
              <c:numCache>
                <c:formatCode>0.00</c:formatCode>
                <c:ptCount val="2"/>
                <c:pt idx="0">
                  <c:v>239</c:v>
                </c:pt>
                <c:pt idx="1">
                  <c:v>246</c:v>
                </c:pt>
              </c:numCache>
            </c:numRef>
          </c:val>
          <c:extLst>
            <c:ext xmlns:c16="http://schemas.microsoft.com/office/drawing/2014/chart" uri="{C3380CC4-5D6E-409C-BE32-E72D297353CC}">
              <c16:uniqueId val="{00000004-F432-4200-9B10-AC71D5536B7A}"/>
            </c:ext>
          </c:extLst>
        </c:ser>
        <c:dLbls>
          <c:showLegendKey val="0"/>
          <c:showVal val="0"/>
          <c:showCatName val="0"/>
          <c:showSerName val="0"/>
          <c:showPercent val="0"/>
          <c:showBubbleSize val="0"/>
          <c:showLeaderLines val="1"/>
        </c:dLbls>
        <c:firstSliceAng val="0"/>
        <c:holeSize val="42"/>
      </c:doughnutChart>
      <c:spPr>
        <a:noFill/>
        <a:ln>
          <a:noFill/>
        </a:ln>
        <a:effectLst/>
      </c:spPr>
    </c:plotArea>
    <c:legend>
      <c:legendPos val="r"/>
      <c:layout>
        <c:manualLayout>
          <c:xMode val="edge"/>
          <c:yMode val="edge"/>
          <c:x val="2.5273435296212791E-2"/>
          <c:y val="1.7719678098685201E-2"/>
          <c:w val="0.97472630906958446"/>
          <c:h val="0.273970711465558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a:outerShdw dist="19050" dir="5400000" algn="ctr" rotWithShape="0">
              <a:srgbClr val="000000"/>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Report'!$U$9</c:f>
              <c:strCache>
                <c:ptCount val="1"/>
                <c:pt idx="0">
                  <c:v>Total</c:v>
                </c:pt>
              </c:strCache>
            </c:strRef>
          </c:tx>
          <c:spPr>
            <a:solidFill>
              <a:schemeClr val="accent1">
                <a:lumMod val="50000"/>
              </a:schemeClr>
            </a:solidFill>
            <a:ln>
              <a:noFill/>
            </a:ln>
            <a:effectLst>
              <a:outerShdw dist="19050" dir="5400000" algn="ctr" rotWithShape="0">
                <a:srgbClr val="000000"/>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Report'!$T$10:$T$18</c:f>
              <c:strCache>
                <c:ptCount val="8"/>
                <c:pt idx="0">
                  <c:v>Renal</c:v>
                </c:pt>
                <c:pt idx="1">
                  <c:v>Physiotherapy</c:v>
                </c:pt>
                <c:pt idx="2">
                  <c:v>Neurology</c:v>
                </c:pt>
                <c:pt idx="3">
                  <c:v>Gastroenterology</c:v>
                </c:pt>
                <c:pt idx="4">
                  <c:v>Cardiology</c:v>
                </c:pt>
                <c:pt idx="5">
                  <c:v>Orthopedics</c:v>
                </c:pt>
                <c:pt idx="6">
                  <c:v>General Practice</c:v>
                </c:pt>
                <c:pt idx="7">
                  <c:v>None</c:v>
                </c:pt>
              </c:strCache>
            </c:strRef>
          </c:cat>
          <c:val>
            <c:numRef>
              <c:f>'Pivot Report'!$U$10:$U$18</c:f>
              <c:numCache>
                <c:formatCode>0</c:formatCode>
                <c:ptCount val="8"/>
                <c:pt idx="0">
                  <c:v>2</c:v>
                </c:pt>
                <c:pt idx="1">
                  <c:v>11</c:v>
                </c:pt>
                <c:pt idx="2">
                  <c:v>12</c:v>
                </c:pt>
                <c:pt idx="3">
                  <c:v>12</c:v>
                </c:pt>
                <c:pt idx="4">
                  <c:v>13</c:v>
                </c:pt>
                <c:pt idx="5">
                  <c:v>53</c:v>
                </c:pt>
                <c:pt idx="6">
                  <c:v>91</c:v>
                </c:pt>
                <c:pt idx="7">
                  <c:v>291</c:v>
                </c:pt>
              </c:numCache>
            </c:numRef>
          </c:val>
          <c:extLst>
            <c:ext xmlns:c16="http://schemas.microsoft.com/office/drawing/2014/chart" uri="{C3380CC4-5D6E-409C-BE32-E72D297353CC}">
              <c16:uniqueId val="{00000000-1853-4E36-B6CD-0CF0A7EAEFA7}"/>
            </c:ext>
          </c:extLst>
        </c:ser>
        <c:dLbls>
          <c:showLegendKey val="0"/>
          <c:showVal val="0"/>
          <c:showCatName val="0"/>
          <c:showSerName val="0"/>
          <c:showPercent val="0"/>
          <c:showBubbleSize val="0"/>
        </c:dLbls>
        <c:gapWidth val="83"/>
        <c:overlap val="-100"/>
        <c:axId val="163438432"/>
        <c:axId val="163430752"/>
      </c:barChart>
      <c:catAx>
        <c:axId val="163438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30752"/>
        <c:crosses val="autoZero"/>
        <c:auto val="1"/>
        <c:lblAlgn val="ctr"/>
        <c:lblOffset val="100"/>
        <c:noMultiLvlLbl val="0"/>
      </c:catAx>
      <c:valAx>
        <c:axId val="163430752"/>
        <c:scaling>
          <c:orientation val="minMax"/>
        </c:scaling>
        <c:delete val="1"/>
        <c:axPos val="b"/>
        <c:numFmt formatCode="0" sourceLinked="1"/>
        <c:majorTickMark val="none"/>
        <c:minorTickMark val="none"/>
        <c:tickLblPos val="nextTo"/>
        <c:crossAx val="16343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Report!PivotTable4</c:name>
    <c:fmtId val="9"/>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Report'!$C$5:$C$35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Report'!$D$5:$D$35</c:f>
              <c:numCache>
                <c:formatCode>General</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0-ABAF-48AE-91BE-17A841B4C30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89472544"/>
        <c:axId val="489476864"/>
      </c:areaChart>
      <c:catAx>
        <c:axId val="489472544"/>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89476864"/>
        <c:crosses val="autoZero"/>
        <c:auto val="1"/>
        <c:lblAlgn val="ctr"/>
        <c:lblOffset val="100"/>
        <c:noMultiLvlLbl val="0"/>
      </c:catAx>
      <c:valAx>
        <c:axId val="489476864"/>
        <c:scaling>
          <c:orientation val="minMax"/>
        </c:scaling>
        <c:delete val="1"/>
        <c:axPos val="l"/>
        <c:numFmt formatCode="General" sourceLinked="1"/>
        <c:majorTickMark val="out"/>
        <c:minorTickMark val="none"/>
        <c:tickLblPos val="nextTo"/>
        <c:crossAx val="48947254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6"/>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766622678888133E-2"/>
          <c:y val="0.21041057926921108"/>
          <c:w val="0.84901492234049569"/>
          <c:h val="0.57917884146157783"/>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Report'!$G$5:$G$35</c:f>
              <c:numCache>
                <c:formatCode>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0-FBDA-49D6-A387-0EC0E0C4E0C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39587136"/>
        <c:axId val="739600576"/>
      </c:areaChart>
      <c:catAx>
        <c:axId val="73958713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9600576"/>
        <c:crosses val="autoZero"/>
        <c:auto val="1"/>
        <c:lblAlgn val="ctr"/>
        <c:lblOffset val="100"/>
        <c:noMultiLvlLbl val="0"/>
      </c:catAx>
      <c:valAx>
        <c:axId val="739600576"/>
        <c:scaling>
          <c:orientation val="minMax"/>
        </c:scaling>
        <c:delete val="1"/>
        <c:axPos val="l"/>
        <c:numFmt formatCode="0.00" sourceLinked="1"/>
        <c:majorTickMark val="out"/>
        <c:minorTickMark val="none"/>
        <c:tickLblPos val="nextTo"/>
        <c:crossAx val="73958713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Report'!$I$5:$I$35</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Report'!$J$5:$J$35</c:f>
              <c:numCache>
                <c:formatCode>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0-1D5B-44B1-9F54-D02DAF54EA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5252800"/>
        <c:axId val="715269600"/>
      </c:areaChart>
      <c:catAx>
        <c:axId val="71525280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5269600"/>
        <c:crosses val="autoZero"/>
        <c:auto val="1"/>
        <c:lblAlgn val="ctr"/>
        <c:lblOffset val="100"/>
        <c:noMultiLvlLbl val="0"/>
      </c:catAx>
      <c:valAx>
        <c:axId val="715269600"/>
        <c:scaling>
          <c:orientation val="minMax"/>
        </c:scaling>
        <c:delete val="1"/>
        <c:axPos val="l"/>
        <c:numFmt formatCode="0.00" sourceLinked="1"/>
        <c:majorTickMark val="out"/>
        <c:minorTickMark val="none"/>
        <c:tickLblPos val="nextTo"/>
        <c:crossAx val="71525280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Patients'!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s Satisfaction 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Daily Patients Waittime'!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0.svg"/></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0.svg"/><Relationship Id="rId2" Type="http://schemas.openxmlformats.org/officeDocument/2006/relationships/image" Target="../media/image9.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13</xdr:col>
      <xdr:colOff>266700</xdr:colOff>
      <xdr:row>13</xdr:row>
      <xdr:rowOff>30480</xdr:rowOff>
    </xdr:from>
    <xdr:to>
      <xdr:col>16</xdr:col>
      <xdr:colOff>175260</xdr:colOff>
      <xdr:row>16</xdr:row>
      <xdr:rowOff>106680</xdr:rowOff>
    </xdr:to>
    <xdr:graphicFrame macro="">
      <xdr:nvGraphicFramePr>
        <xdr:cNvPr id="7" name="Chart 6">
          <a:extLst>
            <a:ext uri="{FF2B5EF4-FFF2-40B4-BE49-F238E27FC236}">
              <a16:creationId xmlns:a16="http://schemas.microsoft.com/office/drawing/2014/main" id="{4C84F9FC-2F97-318D-2ABC-32089E197C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281940</xdr:colOff>
      <xdr:row>22</xdr:row>
      <xdr:rowOff>22861</xdr:rowOff>
    </xdr:from>
    <xdr:to>
      <xdr:col>18</xdr:col>
      <xdr:colOff>182880</xdr:colOff>
      <xdr:row>24</xdr:row>
      <xdr:rowOff>106680</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3B5D1A27-348D-6D72-D60A-F67FF813345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18592800" y="4046221"/>
              <a:ext cx="1828800" cy="449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56444</xdr:colOff>
      <xdr:row>0</xdr:row>
      <xdr:rowOff>49387</xdr:rowOff>
    </xdr:from>
    <xdr:to>
      <xdr:col>6</xdr:col>
      <xdr:colOff>452438</xdr:colOff>
      <xdr:row>4</xdr:row>
      <xdr:rowOff>31750</xdr:rowOff>
    </xdr:to>
    <xdr:sp macro="" textlink="">
      <xdr:nvSpPr>
        <xdr:cNvPr id="2" name="Rectangle: Rounded Corners 1">
          <a:extLst>
            <a:ext uri="{FF2B5EF4-FFF2-40B4-BE49-F238E27FC236}">
              <a16:creationId xmlns:a16="http://schemas.microsoft.com/office/drawing/2014/main" id="{FB1CB768-495F-5376-C1D3-6CBD78F992F0}"/>
            </a:ext>
          </a:extLst>
        </xdr:cNvPr>
        <xdr:cNvSpPr/>
      </xdr:nvSpPr>
      <xdr:spPr>
        <a:xfrm>
          <a:off x="56444" y="49387"/>
          <a:ext cx="4063119" cy="712613"/>
        </a:xfrm>
        <a:prstGeom prst="roundRect">
          <a:avLst>
            <a:gd name="adj" fmla="val 1172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492125</xdr:colOff>
      <xdr:row>0</xdr:row>
      <xdr:rowOff>63499</xdr:rowOff>
    </xdr:from>
    <xdr:to>
      <xdr:col>9</xdr:col>
      <xdr:colOff>226507</xdr:colOff>
      <xdr:row>4</xdr:row>
      <xdr:rowOff>35278</xdr:rowOff>
    </xdr:to>
    <xdr:sp macro="" textlink="">
      <xdr:nvSpPr>
        <xdr:cNvPr id="3" name="Rectangle: Rounded Corners 2">
          <a:extLst>
            <a:ext uri="{FF2B5EF4-FFF2-40B4-BE49-F238E27FC236}">
              <a16:creationId xmlns:a16="http://schemas.microsoft.com/office/drawing/2014/main" id="{36DDBF24-82F1-41C2-A932-FD1BF1966625}"/>
            </a:ext>
          </a:extLst>
        </xdr:cNvPr>
        <xdr:cNvSpPr/>
      </xdr:nvSpPr>
      <xdr:spPr>
        <a:xfrm>
          <a:off x="4159250" y="63499"/>
          <a:ext cx="1567945" cy="702029"/>
        </a:xfrm>
        <a:prstGeom prst="roundRect">
          <a:avLst>
            <a:gd name="adj" fmla="val 822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282950</xdr:colOff>
      <xdr:row>0</xdr:row>
      <xdr:rowOff>64079</xdr:rowOff>
    </xdr:from>
    <xdr:to>
      <xdr:col>12</xdr:col>
      <xdr:colOff>150813</xdr:colOff>
      <xdr:row>9</xdr:row>
      <xdr:rowOff>7937</xdr:rowOff>
    </xdr:to>
    <xdr:sp macro="" textlink="">
      <xdr:nvSpPr>
        <xdr:cNvPr id="4" name="Rectangle: Rounded Corners 3">
          <a:extLst>
            <a:ext uri="{FF2B5EF4-FFF2-40B4-BE49-F238E27FC236}">
              <a16:creationId xmlns:a16="http://schemas.microsoft.com/office/drawing/2014/main" id="{0CF00DB2-BC26-42A5-942D-2B556A9A82B2}"/>
            </a:ext>
          </a:extLst>
        </xdr:cNvPr>
        <xdr:cNvSpPr/>
      </xdr:nvSpPr>
      <xdr:spPr>
        <a:xfrm>
          <a:off x="5783638" y="64079"/>
          <a:ext cx="1701425" cy="1586921"/>
        </a:xfrm>
        <a:prstGeom prst="roundRect">
          <a:avLst>
            <a:gd name="adj" fmla="val 313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202514</xdr:colOff>
      <xdr:row>0</xdr:row>
      <xdr:rowOff>57903</xdr:rowOff>
    </xdr:from>
    <xdr:to>
      <xdr:col>15</xdr:col>
      <xdr:colOff>55562</xdr:colOff>
      <xdr:row>9</xdr:row>
      <xdr:rowOff>7937</xdr:rowOff>
    </xdr:to>
    <xdr:sp macro="" textlink="">
      <xdr:nvSpPr>
        <xdr:cNvPr id="5" name="Rectangle: Rounded Corners 4">
          <a:extLst>
            <a:ext uri="{FF2B5EF4-FFF2-40B4-BE49-F238E27FC236}">
              <a16:creationId xmlns:a16="http://schemas.microsoft.com/office/drawing/2014/main" id="{6005E152-A6EF-43F5-8AD6-F121938F265D}"/>
            </a:ext>
          </a:extLst>
        </xdr:cNvPr>
        <xdr:cNvSpPr/>
      </xdr:nvSpPr>
      <xdr:spPr>
        <a:xfrm>
          <a:off x="7536764" y="57903"/>
          <a:ext cx="1686611" cy="1593097"/>
        </a:xfrm>
        <a:prstGeom prst="roundRect">
          <a:avLst>
            <a:gd name="adj" fmla="val 373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72320</xdr:colOff>
      <xdr:row>4</xdr:row>
      <xdr:rowOff>85549</xdr:rowOff>
    </xdr:from>
    <xdr:to>
      <xdr:col>1</xdr:col>
      <xdr:colOff>298097</xdr:colOff>
      <xdr:row>23</xdr:row>
      <xdr:rowOff>0</xdr:rowOff>
    </xdr:to>
    <xdr:sp macro="" textlink="">
      <xdr:nvSpPr>
        <xdr:cNvPr id="6" name="Rectangle: Rounded Corners 5">
          <a:extLst>
            <a:ext uri="{FF2B5EF4-FFF2-40B4-BE49-F238E27FC236}">
              <a16:creationId xmlns:a16="http://schemas.microsoft.com/office/drawing/2014/main" id="{F8F71A5E-B28D-4F46-8558-1E12C6ED0E4B}"/>
            </a:ext>
          </a:extLst>
        </xdr:cNvPr>
        <xdr:cNvSpPr/>
      </xdr:nvSpPr>
      <xdr:spPr>
        <a:xfrm>
          <a:off x="72320" y="808803"/>
          <a:ext cx="832794" cy="3349909"/>
        </a:xfrm>
        <a:prstGeom prst="roundRect">
          <a:avLst>
            <a:gd name="adj" fmla="val 465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329339</xdr:colOff>
      <xdr:row>9</xdr:row>
      <xdr:rowOff>162279</xdr:rowOff>
    </xdr:from>
    <xdr:to>
      <xdr:col>9</xdr:col>
      <xdr:colOff>261937</xdr:colOff>
      <xdr:row>13</xdr:row>
      <xdr:rowOff>103323</xdr:rowOff>
    </xdr:to>
    <xdr:sp macro="" textlink="">
      <xdr:nvSpPr>
        <xdr:cNvPr id="13" name="Rectangle: Rounded Corners 12">
          <a:extLst>
            <a:ext uri="{FF2B5EF4-FFF2-40B4-BE49-F238E27FC236}">
              <a16:creationId xmlns:a16="http://schemas.microsoft.com/office/drawing/2014/main" id="{42C17C95-ACD1-4A5F-BCAF-35D995061D7C}"/>
            </a:ext>
          </a:extLst>
        </xdr:cNvPr>
        <xdr:cNvSpPr/>
      </xdr:nvSpPr>
      <xdr:spPr>
        <a:xfrm>
          <a:off x="936356" y="1789601"/>
          <a:ext cx="4788734" cy="664298"/>
        </a:xfrm>
        <a:prstGeom prst="roundRect">
          <a:avLst>
            <a:gd name="adj" fmla="val 13659"/>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332493</xdr:colOff>
      <xdr:row>4</xdr:row>
      <xdr:rowOff>92602</xdr:rowOff>
    </xdr:from>
    <xdr:to>
      <xdr:col>3</xdr:col>
      <xdr:colOff>603250</xdr:colOff>
      <xdr:row>9</xdr:row>
      <xdr:rowOff>112151</xdr:rowOff>
    </xdr:to>
    <xdr:sp macro="" textlink="">
      <xdr:nvSpPr>
        <xdr:cNvPr id="7" name="Rectangle: Rounded Corners 6">
          <a:extLst>
            <a:ext uri="{FF2B5EF4-FFF2-40B4-BE49-F238E27FC236}">
              <a16:creationId xmlns:a16="http://schemas.microsoft.com/office/drawing/2014/main" id="{60EFD95C-816D-4451-BF8D-94B16B4FBEC0}"/>
            </a:ext>
          </a:extLst>
        </xdr:cNvPr>
        <xdr:cNvSpPr/>
      </xdr:nvSpPr>
      <xdr:spPr>
        <a:xfrm>
          <a:off x="939510" y="815856"/>
          <a:ext cx="1484791" cy="923617"/>
        </a:xfrm>
        <a:prstGeom prst="roundRect">
          <a:avLst>
            <a:gd name="adj" fmla="val 111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31749</xdr:colOff>
      <xdr:row>4</xdr:row>
      <xdr:rowOff>92603</xdr:rowOff>
    </xdr:from>
    <xdr:to>
      <xdr:col>6</xdr:col>
      <xdr:colOff>444499</xdr:colOff>
      <xdr:row>9</xdr:row>
      <xdr:rowOff>112152</xdr:rowOff>
    </xdr:to>
    <xdr:sp macro="" textlink="">
      <xdr:nvSpPr>
        <xdr:cNvPr id="9" name="Rectangle: Rounded Corners 8">
          <a:extLst>
            <a:ext uri="{FF2B5EF4-FFF2-40B4-BE49-F238E27FC236}">
              <a16:creationId xmlns:a16="http://schemas.microsoft.com/office/drawing/2014/main" id="{3A4CCB17-B1B7-4A9F-B563-148FBC081CE1}"/>
            </a:ext>
          </a:extLst>
        </xdr:cNvPr>
        <xdr:cNvSpPr/>
      </xdr:nvSpPr>
      <xdr:spPr>
        <a:xfrm>
          <a:off x="2459817" y="815857"/>
          <a:ext cx="1626784" cy="923617"/>
        </a:xfrm>
        <a:prstGeom prst="roundRect">
          <a:avLst>
            <a:gd name="adj" fmla="val 25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484189</xdr:colOff>
      <xdr:row>4</xdr:row>
      <xdr:rowOff>85402</xdr:rowOff>
    </xdr:from>
    <xdr:to>
      <xdr:col>9</xdr:col>
      <xdr:colOff>244422</xdr:colOff>
      <xdr:row>9</xdr:row>
      <xdr:rowOff>104951</xdr:rowOff>
    </xdr:to>
    <xdr:sp macro="" textlink="">
      <xdr:nvSpPr>
        <xdr:cNvPr id="10" name="Rectangle: Rounded Corners 9">
          <a:extLst>
            <a:ext uri="{FF2B5EF4-FFF2-40B4-BE49-F238E27FC236}">
              <a16:creationId xmlns:a16="http://schemas.microsoft.com/office/drawing/2014/main" id="{60A73D3D-8F6F-4E1A-9A92-060936C6D719}"/>
            </a:ext>
          </a:extLst>
        </xdr:cNvPr>
        <xdr:cNvSpPr/>
      </xdr:nvSpPr>
      <xdr:spPr>
        <a:xfrm>
          <a:off x="4126291" y="808656"/>
          <a:ext cx="1581284" cy="923617"/>
        </a:xfrm>
        <a:prstGeom prst="roundRect">
          <a:avLst>
            <a:gd name="adj" fmla="val 251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332164</xdr:colOff>
      <xdr:row>13</xdr:row>
      <xdr:rowOff>150891</xdr:rowOff>
    </xdr:from>
    <xdr:to>
      <xdr:col>9</xdr:col>
      <xdr:colOff>238125</xdr:colOff>
      <xdr:row>23</xdr:row>
      <xdr:rowOff>7055</xdr:rowOff>
    </xdr:to>
    <xdr:sp macro="" textlink="">
      <xdr:nvSpPr>
        <xdr:cNvPr id="14" name="Rectangle: Rounded Corners 13">
          <a:extLst>
            <a:ext uri="{FF2B5EF4-FFF2-40B4-BE49-F238E27FC236}">
              <a16:creationId xmlns:a16="http://schemas.microsoft.com/office/drawing/2014/main" id="{B2F68700-E74C-46D9-B772-BDCE1D40A0AA}"/>
            </a:ext>
          </a:extLst>
        </xdr:cNvPr>
        <xdr:cNvSpPr/>
      </xdr:nvSpPr>
      <xdr:spPr>
        <a:xfrm>
          <a:off x="943273" y="2504792"/>
          <a:ext cx="4794832" cy="1666857"/>
        </a:xfrm>
        <a:prstGeom prst="roundRect">
          <a:avLst>
            <a:gd name="adj" fmla="val 300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284381</xdr:colOff>
      <xdr:row>9</xdr:row>
      <xdr:rowOff>71437</xdr:rowOff>
    </xdr:from>
    <xdr:to>
      <xdr:col>15</xdr:col>
      <xdr:colOff>55562</xdr:colOff>
      <xdr:row>23</xdr:row>
      <xdr:rowOff>22444</xdr:rowOff>
    </xdr:to>
    <xdr:sp macro="" textlink="">
      <xdr:nvSpPr>
        <xdr:cNvPr id="15" name="Rectangle: Rounded Corners 14">
          <a:extLst>
            <a:ext uri="{FF2B5EF4-FFF2-40B4-BE49-F238E27FC236}">
              <a16:creationId xmlns:a16="http://schemas.microsoft.com/office/drawing/2014/main" id="{FAE72DA0-9F37-4216-A244-CFB25BA1A9EA}"/>
            </a:ext>
          </a:extLst>
        </xdr:cNvPr>
        <xdr:cNvSpPr/>
      </xdr:nvSpPr>
      <xdr:spPr>
        <a:xfrm>
          <a:off x="5785069" y="1714500"/>
          <a:ext cx="3438306" cy="2506882"/>
        </a:xfrm>
        <a:prstGeom prst="roundRect">
          <a:avLst>
            <a:gd name="adj" fmla="val 195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209333</xdr:colOff>
      <xdr:row>0</xdr:row>
      <xdr:rowOff>155253</xdr:rowOff>
    </xdr:from>
    <xdr:to>
      <xdr:col>6</xdr:col>
      <xdr:colOff>464948</xdr:colOff>
      <xdr:row>2</xdr:row>
      <xdr:rowOff>107628</xdr:rowOff>
    </xdr:to>
    <xdr:sp macro="" textlink="">
      <xdr:nvSpPr>
        <xdr:cNvPr id="19" name="TextBox 18">
          <a:extLst>
            <a:ext uri="{FF2B5EF4-FFF2-40B4-BE49-F238E27FC236}">
              <a16:creationId xmlns:a16="http://schemas.microsoft.com/office/drawing/2014/main" id="{EA88B55B-29E1-E56C-C7CD-083A6F64E227}"/>
            </a:ext>
          </a:extLst>
        </xdr:cNvPr>
        <xdr:cNvSpPr txBox="1"/>
      </xdr:nvSpPr>
      <xdr:spPr>
        <a:xfrm>
          <a:off x="816350" y="155253"/>
          <a:ext cx="3290700" cy="314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600" b="1" i="1"/>
            <a:t>Hospital Emergency Room Dashboard</a:t>
          </a:r>
        </a:p>
      </xdr:txBody>
    </xdr:sp>
    <xdr:clientData/>
  </xdr:twoCellAnchor>
  <xdr:twoCellAnchor editAs="oneCell">
    <xdr:from>
      <xdr:col>0</xdr:col>
      <xdr:colOff>79374</xdr:colOff>
      <xdr:row>0</xdr:row>
      <xdr:rowOff>71631</xdr:rowOff>
    </xdr:from>
    <xdr:to>
      <xdr:col>1</xdr:col>
      <xdr:colOff>246062</xdr:colOff>
      <xdr:row>4</xdr:row>
      <xdr:rowOff>142875</xdr:rowOff>
    </xdr:to>
    <xdr:pic>
      <xdr:nvPicPr>
        <xdr:cNvPr id="23" name="Picture 22">
          <a:extLst>
            <a:ext uri="{FF2B5EF4-FFF2-40B4-BE49-F238E27FC236}">
              <a16:creationId xmlns:a16="http://schemas.microsoft.com/office/drawing/2014/main" id="{0AF4FEAE-1816-9B21-EBB0-ED3D17C1727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168" t="4302" r="18978" b="-3226"/>
        <a:stretch>
          <a:fillRect/>
        </a:stretch>
      </xdr:blipFill>
      <xdr:spPr>
        <a:xfrm>
          <a:off x="79374" y="71631"/>
          <a:ext cx="777876" cy="801494"/>
        </a:xfrm>
        <a:prstGeom prst="rect">
          <a:avLst/>
        </a:prstGeom>
      </xdr:spPr>
    </xdr:pic>
    <xdr:clientData/>
  </xdr:twoCellAnchor>
  <xdr:twoCellAnchor editAs="absolute">
    <xdr:from>
      <xdr:col>2</xdr:col>
      <xdr:colOff>253355</xdr:colOff>
      <xdr:row>2</xdr:row>
      <xdr:rowOff>82202</xdr:rowOff>
    </xdr:from>
    <xdr:to>
      <xdr:col>4</xdr:col>
      <xdr:colOff>452438</xdr:colOff>
      <xdr:row>3</xdr:row>
      <xdr:rowOff>134938</xdr:rowOff>
    </xdr:to>
    <xdr:sp macro="" textlink="">
      <xdr:nvSpPr>
        <xdr:cNvPr id="24" name="TextBox 23">
          <a:extLst>
            <a:ext uri="{FF2B5EF4-FFF2-40B4-BE49-F238E27FC236}">
              <a16:creationId xmlns:a16="http://schemas.microsoft.com/office/drawing/2014/main" id="{9E557E58-C171-4E6D-B0D4-3839E1F7407A}"/>
            </a:ext>
          </a:extLst>
        </xdr:cNvPr>
        <xdr:cNvSpPr txBox="1"/>
      </xdr:nvSpPr>
      <xdr:spPr>
        <a:xfrm>
          <a:off x="1475730" y="447327"/>
          <a:ext cx="1421458" cy="235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i="0"/>
            <a:t>Monthly</a:t>
          </a:r>
          <a:r>
            <a:rPr lang="en-IN" sz="1400" b="0" i="0" baseline="0"/>
            <a:t> Report</a:t>
          </a:r>
          <a:endParaRPr lang="en-IN" sz="1400" b="0" i="0"/>
        </a:p>
      </xdr:txBody>
    </xdr:sp>
    <xdr:clientData/>
  </xdr:twoCellAnchor>
  <xdr:twoCellAnchor editAs="absolute">
    <xdr:from>
      <xdr:col>0</xdr:col>
      <xdr:colOff>436563</xdr:colOff>
      <xdr:row>6</xdr:row>
      <xdr:rowOff>47624</xdr:rowOff>
    </xdr:from>
    <xdr:to>
      <xdr:col>0</xdr:col>
      <xdr:colOff>508001</xdr:colOff>
      <xdr:row>6</xdr:row>
      <xdr:rowOff>119061</xdr:rowOff>
    </xdr:to>
    <xdr:sp macro="" textlink="">
      <xdr:nvSpPr>
        <xdr:cNvPr id="29" name="TextBox 28">
          <a:extLst>
            <a:ext uri="{FF2B5EF4-FFF2-40B4-BE49-F238E27FC236}">
              <a16:creationId xmlns:a16="http://schemas.microsoft.com/office/drawing/2014/main" id="{D96F511A-4142-5DC4-4477-E295159F93EC}"/>
            </a:ext>
          </a:extLst>
        </xdr:cNvPr>
        <xdr:cNvSpPr txBox="1"/>
      </xdr:nvSpPr>
      <xdr:spPr>
        <a:xfrm flipH="1" flipV="1">
          <a:off x="436563" y="1142999"/>
          <a:ext cx="71438" cy="71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aseline="0">
              <a:noFill/>
            </a:rPr>
            <a:t>No.</a:t>
          </a:r>
          <a:endParaRPr lang="en-IN" sz="1400" baseline="0">
            <a:solidFill>
              <a:schemeClr val="dk1"/>
            </a:solidFill>
          </a:endParaRPr>
        </a:p>
        <a:p>
          <a:pPr algn="ctr"/>
          <a:endParaRPr lang="en-IN" sz="1400">
            <a:noFill/>
          </a:endParaRPr>
        </a:p>
      </xdr:txBody>
    </xdr:sp>
    <xdr:clientData/>
  </xdr:twoCellAnchor>
  <xdr:twoCellAnchor>
    <xdr:from>
      <xdr:col>2</xdr:col>
      <xdr:colOff>119062</xdr:colOff>
      <xdr:row>4</xdr:row>
      <xdr:rowOff>174627</xdr:rowOff>
    </xdr:from>
    <xdr:to>
      <xdr:col>3</xdr:col>
      <xdr:colOff>214312</xdr:colOff>
      <xdr:row>6</xdr:row>
      <xdr:rowOff>87315</xdr:rowOff>
    </xdr:to>
    <xdr:sp macro="" textlink="'Pivot Report'!A5">
      <xdr:nvSpPr>
        <xdr:cNvPr id="30" name="TextBox 29">
          <a:extLst>
            <a:ext uri="{FF2B5EF4-FFF2-40B4-BE49-F238E27FC236}">
              <a16:creationId xmlns:a16="http://schemas.microsoft.com/office/drawing/2014/main" id="{49D170A9-41BD-DB79-190F-7D8622D95BE4}"/>
            </a:ext>
          </a:extLst>
        </xdr:cNvPr>
        <xdr:cNvSpPr txBox="1"/>
      </xdr:nvSpPr>
      <xdr:spPr>
        <a:xfrm>
          <a:off x="1341437" y="904877"/>
          <a:ext cx="706438"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7C113F42-1DD1-419B-A116-93CF2A7F8814}" type="TxLink">
            <a:rPr lang="en-US" sz="1400" b="0" i="0" u="none" strike="noStrike">
              <a:solidFill>
                <a:srgbClr val="000000"/>
              </a:solidFill>
              <a:latin typeface="Calibri"/>
              <a:ea typeface="Calibri"/>
              <a:cs typeface="Calibri"/>
            </a:rPr>
            <a:pPr algn="ctr"/>
            <a:t>485</a:t>
          </a:fld>
          <a:endParaRPr lang="en-IN" sz="1400"/>
        </a:p>
      </xdr:txBody>
    </xdr:sp>
    <xdr:clientData/>
  </xdr:twoCellAnchor>
  <xdr:twoCellAnchor>
    <xdr:from>
      <xdr:col>4</xdr:col>
      <xdr:colOff>492575</xdr:colOff>
      <xdr:row>4</xdr:row>
      <xdr:rowOff>156102</xdr:rowOff>
    </xdr:from>
    <xdr:to>
      <xdr:col>5</xdr:col>
      <xdr:colOff>587825</xdr:colOff>
      <xdr:row>6</xdr:row>
      <xdr:rowOff>68790</xdr:rowOff>
    </xdr:to>
    <xdr:sp macro="" textlink="'Pivot Report'!A9">
      <xdr:nvSpPr>
        <xdr:cNvPr id="31" name="TextBox 30">
          <a:extLst>
            <a:ext uri="{FF2B5EF4-FFF2-40B4-BE49-F238E27FC236}">
              <a16:creationId xmlns:a16="http://schemas.microsoft.com/office/drawing/2014/main" id="{A4FE2856-3D9C-4D10-9794-DDAF3120EEAD}"/>
            </a:ext>
          </a:extLst>
        </xdr:cNvPr>
        <xdr:cNvSpPr txBox="1"/>
      </xdr:nvSpPr>
      <xdr:spPr>
        <a:xfrm>
          <a:off x="2937325" y="886352"/>
          <a:ext cx="706438"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8453FF98-5492-4191-9E73-CB69372B5271}" type="TxLink">
            <a:rPr lang="en-US" sz="1400" b="0" i="0" u="none" strike="noStrike">
              <a:solidFill>
                <a:srgbClr val="000000"/>
              </a:solidFill>
              <a:latin typeface="Calibri"/>
              <a:ea typeface="Calibri"/>
              <a:cs typeface="Calibri"/>
            </a:rPr>
            <a:pPr algn="ctr"/>
            <a:t>35.51</a:t>
          </a:fld>
          <a:endParaRPr lang="en-IN" sz="2000"/>
        </a:p>
      </xdr:txBody>
    </xdr:sp>
    <xdr:clientData/>
  </xdr:twoCellAnchor>
  <xdr:twoCellAnchor>
    <xdr:from>
      <xdr:col>7</xdr:col>
      <xdr:colOff>246062</xdr:colOff>
      <xdr:row>4</xdr:row>
      <xdr:rowOff>156839</xdr:rowOff>
    </xdr:from>
    <xdr:to>
      <xdr:col>8</xdr:col>
      <xdr:colOff>341313</xdr:colOff>
      <xdr:row>6</xdr:row>
      <xdr:rowOff>69527</xdr:rowOff>
    </xdr:to>
    <xdr:sp macro="" textlink="'Pivot Report'!A13">
      <xdr:nvSpPr>
        <xdr:cNvPr id="33" name="TextBox 32">
          <a:extLst>
            <a:ext uri="{FF2B5EF4-FFF2-40B4-BE49-F238E27FC236}">
              <a16:creationId xmlns:a16="http://schemas.microsoft.com/office/drawing/2014/main" id="{15DC6169-4746-4142-AEA3-464B11641515}"/>
            </a:ext>
          </a:extLst>
        </xdr:cNvPr>
        <xdr:cNvSpPr txBox="1"/>
      </xdr:nvSpPr>
      <xdr:spPr>
        <a:xfrm>
          <a:off x="4524375" y="887089"/>
          <a:ext cx="706438"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A3EE8AA-89DA-4DCA-BB41-7EB540E95F82}" type="TxLink">
            <a:rPr lang="en-US" sz="1400" b="0" i="0" u="none" strike="noStrike">
              <a:solidFill>
                <a:srgbClr val="000000"/>
              </a:solidFill>
              <a:latin typeface="Calibri"/>
              <a:ea typeface="Calibri"/>
              <a:cs typeface="Calibri"/>
            </a:rPr>
            <a:pPr algn="ctr"/>
            <a:t>4.71</a:t>
          </a:fld>
          <a:endParaRPr lang="en-IN" sz="2000"/>
        </a:p>
      </xdr:txBody>
    </xdr:sp>
    <xdr:clientData/>
  </xdr:twoCellAnchor>
  <xdr:twoCellAnchor>
    <xdr:from>
      <xdr:col>4</xdr:col>
      <xdr:colOff>71888</xdr:colOff>
      <xdr:row>5</xdr:row>
      <xdr:rowOff>140229</xdr:rowOff>
    </xdr:from>
    <xdr:to>
      <xdr:col>6</xdr:col>
      <xdr:colOff>404813</xdr:colOff>
      <xdr:row>7</xdr:row>
      <xdr:rowOff>52917</xdr:rowOff>
    </xdr:to>
    <xdr:sp macro="" textlink="">
      <xdr:nvSpPr>
        <xdr:cNvPr id="32" name="TextBox 31">
          <a:extLst>
            <a:ext uri="{FF2B5EF4-FFF2-40B4-BE49-F238E27FC236}">
              <a16:creationId xmlns:a16="http://schemas.microsoft.com/office/drawing/2014/main" id="{7F82B033-A406-4A97-A70D-6B5769C9280A}"/>
            </a:ext>
          </a:extLst>
        </xdr:cNvPr>
        <xdr:cNvSpPr txBox="1"/>
      </xdr:nvSpPr>
      <xdr:spPr>
        <a:xfrm>
          <a:off x="2516638" y="1053042"/>
          <a:ext cx="1555300"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100" b="0" i="0" u="none" strike="noStrike">
              <a:solidFill>
                <a:srgbClr val="000000"/>
              </a:solidFill>
              <a:latin typeface="Calibri"/>
              <a:ea typeface="Calibri"/>
              <a:cs typeface="Calibri"/>
            </a:rPr>
            <a:t>Average</a:t>
          </a:r>
          <a:r>
            <a:rPr lang="en-US" sz="1600" b="0" i="0" u="none" strike="noStrike">
              <a:solidFill>
                <a:srgbClr val="000000"/>
              </a:solidFill>
              <a:latin typeface="Calibri"/>
              <a:ea typeface="Calibri"/>
              <a:cs typeface="Calibri"/>
            </a:rPr>
            <a:t> </a:t>
          </a:r>
          <a:r>
            <a:rPr lang="en-US" sz="1100" b="0" i="0" u="none" strike="noStrike">
              <a:solidFill>
                <a:srgbClr val="000000"/>
              </a:solidFill>
              <a:latin typeface="Calibri"/>
              <a:ea typeface="Calibri"/>
              <a:cs typeface="Calibri"/>
            </a:rPr>
            <a:t>Waittime</a:t>
          </a:r>
          <a:endParaRPr lang="en-US" sz="1600" b="0" i="0" u="none" strike="noStrike">
            <a:solidFill>
              <a:srgbClr val="000000"/>
            </a:solidFill>
            <a:latin typeface="Calibri"/>
            <a:ea typeface="Calibri"/>
            <a:cs typeface="Calibri"/>
          </a:endParaRPr>
        </a:p>
      </xdr:txBody>
    </xdr:sp>
    <xdr:clientData/>
  </xdr:twoCellAnchor>
  <xdr:twoCellAnchor>
    <xdr:from>
      <xdr:col>6</xdr:col>
      <xdr:colOff>168274</xdr:colOff>
      <xdr:row>6</xdr:row>
      <xdr:rowOff>7616</xdr:rowOff>
    </xdr:from>
    <xdr:to>
      <xdr:col>9</xdr:col>
      <xdr:colOff>555625</xdr:colOff>
      <xdr:row>7</xdr:row>
      <xdr:rowOff>71438</xdr:rowOff>
    </xdr:to>
    <xdr:sp macro="" textlink="'Pivot Report'!A5">
      <xdr:nvSpPr>
        <xdr:cNvPr id="34" name="TextBox 33">
          <a:extLst>
            <a:ext uri="{FF2B5EF4-FFF2-40B4-BE49-F238E27FC236}">
              <a16:creationId xmlns:a16="http://schemas.microsoft.com/office/drawing/2014/main" id="{1DC56FBB-6B65-49CD-9BB2-7CFFF6E2D846}"/>
            </a:ext>
          </a:extLst>
        </xdr:cNvPr>
        <xdr:cNvSpPr txBox="1"/>
      </xdr:nvSpPr>
      <xdr:spPr>
        <a:xfrm>
          <a:off x="3835399" y="1102991"/>
          <a:ext cx="2220914" cy="246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Patient Satisfaction Score</a:t>
          </a:r>
        </a:p>
      </xdr:txBody>
    </xdr:sp>
    <xdr:clientData/>
  </xdr:twoCellAnchor>
  <xdr:twoCellAnchor>
    <xdr:from>
      <xdr:col>1</xdr:col>
      <xdr:colOff>372180</xdr:colOff>
      <xdr:row>6</xdr:row>
      <xdr:rowOff>29101</xdr:rowOff>
    </xdr:from>
    <xdr:to>
      <xdr:col>3</xdr:col>
      <xdr:colOff>507999</xdr:colOff>
      <xdr:row>7</xdr:row>
      <xdr:rowOff>124351</xdr:rowOff>
    </xdr:to>
    <xdr:sp macro="" textlink="'Pivot Report'!A5">
      <xdr:nvSpPr>
        <xdr:cNvPr id="35" name="TextBox 34">
          <a:extLst>
            <a:ext uri="{FF2B5EF4-FFF2-40B4-BE49-F238E27FC236}">
              <a16:creationId xmlns:a16="http://schemas.microsoft.com/office/drawing/2014/main" id="{E689F8E2-10D6-444F-8E32-DCE63D8497BF}"/>
            </a:ext>
          </a:extLst>
        </xdr:cNvPr>
        <xdr:cNvSpPr txBox="1"/>
      </xdr:nvSpPr>
      <xdr:spPr>
        <a:xfrm>
          <a:off x="983368" y="1124476"/>
          <a:ext cx="1358194"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t>No.</a:t>
          </a:r>
          <a:r>
            <a:rPr lang="en-IN" sz="1100" baseline="0"/>
            <a:t> of Patients</a:t>
          </a:r>
          <a:endParaRPr lang="en-IN" sz="1100"/>
        </a:p>
      </xdr:txBody>
    </xdr:sp>
    <xdr:clientData/>
  </xdr:twoCellAnchor>
  <xdr:twoCellAnchor editAs="oneCell">
    <xdr:from>
      <xdr:col>6</xdr:col>
      <xdr:colOff>173813</xdr:colOff>
      <xdr:row>4</xdr:row>
      <xdr:rowOff>118250</xdr:rowOff>
    </xdr:from>
    <xdr:to>
      <xdr:col>6</xdr:col>
      <xdr:colOff>452438</xdr:colOff>
      <xdr:row>6</xdr:row>
      <xdr:rowOff>31750</xdr:rowOff>
    </xdr:to>
    <xdr:pic>
      <xdr:nvPicPr>
        <xdr:cNvPr id="39" name="Graphic 38" descr="Hourglass Finished with solid fill">
          <a:extLst>
            <a:ext uri="{FF2B5EF4-FFF2-40B4-BE49-F238E27FC236}">
              <a16:creationId xmlns:a16="http://schemas.microsoft.com/office/drawing/2014/main" id="{CB31D69E-AD29-5705-DCD9-576807EEE726}"/>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840938" y="848500"/>
          <a:ext cx="278625" cy="278625"/>
        </a:xfrm>
        <a:prstGeom prst="rect">
          <a:avLst/>
        </a:prstGeom>
      </xdr:spPr>
    </xdr:pic>
    <xdr:clientData/>
  </xdr:twoCellAnchor>
  <xdr:twoCellAnchor editAs="oneCell">
    <xdr:from>
      <xdr:col>3</xdr:col>
      <xdr:colOff>300000</xdr:colOff>
      <xdr:row>4</xdr:row>
      <xdr:rowOff>109501</xdr:rowOff>
    </xdr:from>
    <xdr:to>
      <xdr:col>3</xdr:col>
      <xdr:colOff>555625</xdr:colOff>
      <xdr:row>6</xdr:row>
      <xdr:rowOff>1</xdr:rowOff>
    </xdr:to>
    <xdr:pic>
      <xdr:nvPicPr>
        <xdr:cNvPr id="41" name="Graphic 40" descr="Male profile with solid fill">
          <a:extLst>
            <a:ext uri="{FF2B5EF4-FFF2-40B4-BE49-F238E27FC236}">
              <a16:creationId xmlns:a16="http://schemas.microsoft.com/office/drawing/2014/main" id="{005DC0EC-5DDE-9512-18DE-F2F866A44A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33563" y="839751"/>
          <a:ext cx="255625" cy="255625"/>
        </a:xfrm>
        <a:prstGeom prst="rect">
          <a:avLst/>
        </a:prstGeom>
      </xdr:spPr>
    </xdr:pic>
    <xdr:clientData/>
  </xdr:twoCellAnchor>
  <xdr:twoCellAnchor editAs="oneCell">
    <xdr:from>
      <xdr:col>8</xdr:col>
      <xdr:colOff>507999</xdr:colOff>
      <xdr:row>4</xdr:row>
      <xdr:rowOff>79375</xdr:rowOff>
    </xdr:from>
    <xdr:to>
      <xdr:col>9</xdr:col>
      <xdr:colOff>222249</xdr:colOff>
      <xdr:row>6</xdr:row>
      <xdr:rowOff>39688</xdr:rowOff>
    </xdr:to>
    <xdr:pic>
      <xdr:nvPicPr>
        <xdr:cNvPr id="43" name="Graphic 42" descr="Stars with solid fill">
          <a:extLst>
            <a:ext uri="{FF2B5EF4-FFF2-40B4-BE49-F238E27FC236}">
              <a16:creationId xmlns:a16="http://schemas.microsoft.com/office/drawing/2014/main" id="{078F2C48-B55B-4371-154A-2B083DB63A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97499" y="809625"/>
          <a:ext cx="325438" cy="325438"/>
        </a:xfrm>
        <a:prstGeom prst="rect">
          <a:avLst/>
        </a:prstGeom>
      </xdr:spPr>
    </xdr:pic>
    <xdr:clientData/>
  </xdr:twoCellAnchor>
  <xdr:twoCellAnchor editAs="oneCell">
    <xdr:from>
      <xdr:col>0</xdr:col>
      <xdr:colOff>116237</xdr:colOff>
      <xdr:row>5</xdr:row>
      <xdr:rowOff>12915</xdr:rowOff>
    </xdr:from>
    <xdr:to>
      <xdr:col>1</xdr:col>
      <xdr:colOff>251848</xdr:colOff>
      <xdr:row>22</xdr:row>
      <xdr:rowOff>71034</xdr:rowOff>
    </xdr:to>
    <mc:AlternateContent xmlns:mc="http://schemas.openxmlformats.org/markup-compatibility/2006" xmlns:a14="http://schemas.microsoft.com/office/drawing/2010/main">
      <mc:Choice Requires="a14">
        <xdr:graphicFrame macro="">
          <xdr:nvGraphicFramePr>
            <xdr:cNvPr id="44" name="Date (Month) 1">
              <a:extLst>
                <a:ext uri="{FF2B5EF4-FFF2-40B4-BE49-F238E27FC236}">
                  <a16:creationId xmlns:a16="http://schemas.microsoft.com/office/drawing/2014/main" id="{564E26CA-7A19-41CB-B505-DBF7B7CDF246}"/>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6237" y="918789"/>
              <a:ext cx="743080" cy="3138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355169</xdr:colOff>
      <xdr:row>7</xdr:row>
      <xdr:rowOff>77491</xdr:rowOff>
    </xdr:from>
    <xdr:to>
      <xdr:col>4</xdr:col>
      <xdr:colOff>58117</xdr:colOff>
      <xdr:row>9</xdr:row>
      <xdr:rowOff>103322</xdr:rowOff>
    </xdr:to>
    <xdr:graphicFrame macro="">
      <xdr:nvGraphicFramePr>
        <xdr:cNvPr id="45" name="Chart 44">
          <a:hlinkClick xmlns:r="http://schemas.openxmlformats.org/officeDocument/2006/relationships" r:id="rId8"/>
          <a:extLst>
            <a:ext uri="{FF2B5EF4-FFF2-40B4-BE49-F238E27FC236}">
              <a16:creationId xmlns:a16="http://schemas.microsoft.com/office/drawing/2014/main" id="{16FFD036-10E6-4AC0-A448-9350A87F4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538808</xdr:colOff>
      <xdr:row>7</xdr:row>
      <xdr:rowOff>12914</xdr:rowOff>
    </xdr:from>
    <xdr:to>
      <xdr:col>6</xdr:col>
      <xdr:colOff>594101</xdr:colOff>
      <xdr:row>10</xdr:row>
      <xdr:rowOff>32288</xdr:rowOff>
    </xdr:to>
    <xdr:graphicFrame macro="">
      <xdr:nvGraphicFramePr>
        <xdr:cNvPr id="46" name="Chart 45">
          <a:hlinkClick xmlns:r="http://schemas.openxmlformats.org/officeDocument/2006/relationships" r:id="rId10"/>
          <a:extLst>
            <a:ext uri="{FF2B5EF4-FFF2-40B4-BE49-F238E27FC236}">
              <a16:creationId xmlns:a16="http://schemas.microsoft.com/office/drawing/2014/main" id="{00084858-45BF-47DB-A722-58635A066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361626</xdr:colOff>
      <xdr:row>6</xdr:row>
      <xdr:rowOff>51661</xdr:rowOff>
    </xdr:from>
    <xdr:to>
      <xdr:col>9</xdr:col>
      <xdr:colOff>368084</xdr:colOff>
      <xdr:row>10</xdr:row>
      <xdr:rowOff>51661</xdr:rowOff>
    </xdr:to>
    <xdr:graphicFrame macro="">
      <xdr:nvGraphicFramePr>
        <xdr:cNvPr id="47" name="Chart 46">
          <a:hlinkClick xmlns:r="http://schemas.openxmlformats.org/officeDocument/2006/relationships" r:id="rId12"/>
          <a:extLst>
            <a:ext uri="{FF2B5EF4-FFF2-40B4-BE49-F238E27FC236}">
              <a16:creationId xmlns:a16="http://schemas.microsoft.com/office/drawing/2014/main" id="{031884A1-1DD4-47D2-9057-473CEC7F5A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342254</xdr:colOff>
      <xdr:row>9</xdr:row>
      <xdr:rowOff>167898</xdr:rowOff>
    </xdr:from>
    <xdr:to>
      <xdr:col>9</xdr:col>
      <xdr:colOff>245389</xdr:colOff>
      <xdr:row>13</xdr:row>
      <xdr:rowOff>83949</xdr:rowOff>
    </xdr:to>
    <xdr:pic>
      <xdr:nvPicPr>
        <xdr:cNvPr id="52" name="Picture 51">
          <a:extLst>
            <a:ext uri="{FF2B5EF4-FFF2-40B4-BE49-F238E27FC236}">
              <a16:creationId xmlns:a16="http://schemas.microsoft.com/office/drawing/2014/main" id="{4AFF2A87-5160-4214-00CF-F7FEC99D738D}"/>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49271" y="1795220"/>
          <a:ext cx="4759271" cy="639305"/>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384772</xdr:colOff>
      <xdr:row>13</xdr:row>
      <xdr:rowOff>150892</xdr:rowOff>
    </xdr:from>
    <xdr:to>
      <xdr:col>9</xdr:col>
      <xdr:colOff>173525</xdr:colOff>
      <xdr:row>22</xdr:row>
      <xdr:rowOff>165980</xdr:rowOff>
    </xdr:to>
    <xdr:graphicFrame macro="">
      <xdr:nvGraphicFramePr>
        <xdr:cNvPr id="53" name="Chart 52">
          <a:extLst>
            <a:ext uri="{FF2B5EF4-FFF2-40B4-BE49-F238E27FC236}">
              <a16:creationId xmlns:a16="http://schemas.microsoft.com/office/drawing/2014/main" id="{46AD675F-57A4-4930-A9C0-4AB0EE9CE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596022</xdr:colOff>
      <xdr:row>22</xdr:row>
      <xdr:rowOff>0</xdr:rowOff>
    </xdr:from>
    <xdr:to>
      <xdr:col>6</xdr:col>
      <xdr:colOff>452674</xdr:colOff>
      <xdr:row>23</xdr:row>
      <xdr:rowOff>65072</xdr:rowOff>
    </xdr:to>
    <xdr:sp macro="" textlink="'Pivot Report'!A5">
      <xdr:nvSpPr>
        <xdr:cNvPr id="54" name="TextBox 53">
          <a:extLst>
            <a:ext uri="{FF2B5EF4-FFF2-40B4-BE49-F238E27FC236}">
              <a16:creationId xmlns:a16="http://schemas.microsoft.com/office/drawing/2014/main" id="{F2231CD3-7853-47D9-8D96-E80061676092}"/>
            </a:ext>
          </a:extLst>
        </xdr:cNvPr>
        <xdr:cNvSpPr txBox="1"/>
      </xdr:nvSpPr>
      <xdr:spPr>
        <a:xfrm>
          <a:off x="2429349" y="3983525"/>
          <a:ext cx="1689978" cy="24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No.</a:t>
          </a:r>
          <a:r>
            <a:rPr lang="en-IN" sz="1000" baseline="0"/>
            <a:t> of Patients By Age Group</a:t>
          </a:r>
          <a:endParaRPr lang="en-IN" sz="1000"/>
        </a:p>
      </xdr:txBody>
    </xdr:sp>
    <xdr:clientData/>
  </xdr:twoCellAnchor>
  <xdr:twoCellAnchor>
    <xdr:from>
      <xdr:col>9</xdr:col>
      <xdr:colOff>316870</xdr:colOff>
      <xdr:row>0</xdr:row>
      <xdr:rowOff>82990</xdr:rowOff>
    </xdr:from>
    <xdr:to>
      <xdr:col>12</xdr:col>
      <xdr:colOff>120712</xdr:colOff>
      <xdr:row>8</xdr:row>
      <xdr:rowOff>165982</xdr:rowOff>
    </xdr:to>
    <xdr:graphicFrame macro="">
      <xdr:nvGraphicFramePr>
        <xdr:cNvPr id="55" name="Chart 54">
          <a:extLst>
            <a:ext uri="{FF2B5EF4-FFF2-40B4-BE49-F238E27FC236}">
              <a16:creationId xmlns:a16="http://schemas.microsoft.com/office/drawing/2014/main" id="{A2B6185A-999E-451D-A550-951F1CEBB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435980</xdr:colOff>
      <xdr:row>8</xdr:row>
      <xdr:rowOff>32065</xdr:rowOff>
    </xdr:from>
    <xdr:to>
      <xdr:col>12</xdr:col>
      <xdr:colOff>75446</xdr:colOff>
      <xdr:row>9</xdr:row>
      <xdr:rowOff>105624</xdr:rowOff>
    </xdr:to>
    <xdr:sp macro="" textlink="'Pivot Report'!A5">
      <xdr:nvSpPr>
        <xdr:cNvPr id="56" name="TextBox 55">
          <a:extLst>
            <a:ext uri="{FF2B5EF4-FFF2-40B4-BE49-F238E27FC236}">
              <a16:creationId xmlns:a16="http://schemas.microsoft.com/office/drawing/2014/main" id="{CF3EA7DB-E4FC-4CF0-95B7-7DCC9F3B5125}"/>
            </a:ext>
          </a:extLst>
        </xdr:cNvPr>
        <xdr:cNvSpPr txBox="1"/>
      </xdr:nvSpPr>
      <xdr:spPr>
        <a:xfrm>
          <a:off x="5935960" y="1480619"/>
          <a:ext cx="1472793" cy="25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aseline="0"/>
            <a:t>Patients Attend Status</a:t>
          </a:r>
          <a:endParaRPr lang="en-IN" sz="900"/>
        </a:p>
      </xdr:txBody>
    </xdr:sp>
    <xdr:clientData/>
  </xdr:twoCellAnchor>
  <xdr:twoCellAnchor>
    <xdr:from>
      <xdr:col>12</xdr:col>
      <xdr:colOff>173526</xdr:colOff>
      <xdr:row>0</xdr:row>
      <xdr:rowOff>45267</xdr:rowOff>
    </xdr:from>
    <xdr:to>
      <xdr:col>15</xdr:col>
      <xdr:colOff>22635</xdr:colOff>
      <xdr:row>8</xdr:row>
      <xdr:rowOff>165981</xdr:rowOff>
    </xdr:to>
    <xdr:graphicFrame macro="">
      <xdr:nvGraphicFramePr>
        <xdr:cNvPr id="57" name="Chart 56">
          <a:extLst>
            <a:ext uri="{FF2B5EF4-FFF2-40B4-BE49-F238E27FC236}">
              <a16:creationId xmlns:a16="http://schemas.microsoft.com/office/drawing/2014/main" id="{04EFB31C-26BE-4B7D-871B-27D0EDD91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285087</xdr:colOff>
      <xdr:row>8</xdr:row>
      <xdr:rowOff>32063</xdr:rowOff>
    </xdr:from>
    <xdr:to>
      <xdr:col>14</xdr:col>
      <xdr:colOff>535662</xdr:colOff>
      <xdr:row>9</xdr:row>
      <xdr:rowOff>105622</xdr:rowOff>
    </xdr:to>
    <xdr:sp macro="" textlink="'Pivot Report'!A5">
      <xdr:nvSpPr>
        <xdr:cNvPr id="58" name="TextBox 57">
          <a:extLst>
            <a:ext uri="{FF2B5EF4-FFF2-40B4-BE49-F238E27FC236}">
              <a16:creationId xmlns:a16="http://schemas.microsoft.com/office/drawing/2014/main" id="{E18708CA-E510-4C39-BF9E-50D2B13F70C7}"/>
            </a:ext>
          </a:extLst>
        </xdr:cNvPr>
        <xdr:cNvSpPr txBox="1"/>
      </xdr:nvSpPr>
      <xdr:spPr>
        <a:xfrm>
          <a:off x="7618394" y="1480617"/>
          <a:ext cx="1472793" cy="2546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aseline="0"/>
            <a:t>Gender Wise Analysis</a:t>
          </a:r>
          <a:endParaRPr lang="en-IN" sz="900"/>
        </a:p>
      </xdr:txBody>
    </xdr:sp>
    <xdr:clientData/>
  </xdr:twoCellAnchor>
  <xdr:twoCellAnchor>
    <xdr:from>
      <xdr:col>9</xdr:col>
      <xdr:colOff>294238</xdr:colOff>
      <xdr:row>9</xdr:row>
      <xdr:rowOff>84875</xdr:rowOff>
    </xdr:from>
    <xdr:to>
      <xdr:col>14</xdr:col>
      <xdr:colOff>580931</xdr:colOff>
      <xdr:row>21</xdr:row>
      <xdr:rowOff>158435</xdr:rowOff>
    </xdr:to>
    <xdr:graphicFrame macro="">
      <xdr:nvGraphicFramePr>
        <xdr:cNvPr id="59" name="Chart 58">
          <a:extLst>
            <a:ext uri="{FF2B5EF4-FFF2-40B4-BE49-F238E27FC236}">
              <a16:creationId xmlns:a16="http://schemas.microsoft.com/office/drawing/2014/main" id="{4B7607D8-FD5C-4234-8353-BA746D06FE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466157</xdr:colOff>
      <xdr:row>22</xdr:row>
      <xdr:rowOff>24519</xdr:rowOff>
    </xdr:from>
    <xdr:to>
      <xdr:col>14</xdr:col>
      <xdr:colOff>98078</xdr:colOff>
      <xdr:row>23</xdr:row>
      <xdr:rowOff>89591</xdr:rowOff>
    </xdr:to>
    <xdr:sp macro="" textlink="'Pivot Report'!A5">
      <xdr:nvSpPr>
        <xdr:cNvPr id="60" name="TextBox 59">
          <a:extLst>
            <a:ext uri="{FF2B5EF4-FFF2-40B4-BE49-F238E27FC236}">
              <a16:creationId xmlns:a16="http://schemas.microsoft.com/office/drawing/2014/main" id="{57D5EA3C-F8A9-41D8-8046-0E915FFFC697}"/>
            </a:ext>
          </a:extLst>
        </xdr:cNvPr>
        <xdr:cNvSpPr txBox="1"/>
      </xdr:nvSpPr>
      <xdr:spPr>
        <a:xfrm>
          <a:off x="6577246" y="4008044"/>
          <a:ext cx="2076357" cy="246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a:t>No.</a:t>
          </a:r>
          <a:r>
            <a:rPr lang="en-IN" sz="1000" baseline="0"/>
            <a:t> of Patients By Department Referrall</a:t>
          </a:r>
          <a:endParaRPr lang="en-IN" sz="1000"/>
        </a:p>
      </xdr:txBody>
    </xdr:sp>
    <xdr:clientData/>
  </xdr:twoCellAnchor>
  <xdr:twoCellAnchor editAs="oneCell">
    <xdr:from>
      <xdr:col>6</xdr:col>
      <xdr:colOff>535664</xdr:colOff>
      <xdr:row>1</xdr:row>
      <xdr:rowOff>45267</xdr:rowOff>
    </xdr:from>
    <xdr:to>
      <xdr:col>9</xdr:col>
      <xdr:colOff>196159</xdr:colOff>
      <xdr:row>3</xdr:row>
      <xdr:rowOff>120711</xdr:rowOff>
    </xdr:to>
    <mc:AlternateContent xmlns:mc="http://schemas.openxmlformats.org/markup-compatibility/2006" xmlns:a14="http://schemas.microsoft.com/office/drawing/2010/main">
      <mc:Choice Requires="a14">
        <xdr:graphicFrame macro="">
          <xdr:nvGraphicFramePr>
            <xdr:cNvPr id="61" name="Date (Year) 1">
              <a:extLst>
                <a:ext uri="{FF2B5EF4-FFF2-40B4-BE49-F238E27FC236}">
                  <a16:creationId xmlns:a16="http://schemas.microsoft.com/office/drawing/2014/main" id="{BB2B772B-84A1-4B54-8CB5-494E4C295FD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4180475" y="226442"/>
              <a:ext cx="1482901" cy="437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129540</xdr:colOff>
      <xdr:row>0</xdr:row>
      <xdr:rowOff>121920</xdr:rowOff>
    </xdr:from>
    <xdr:to>
      <xdr:col>23</xdr:col>
      <xdr:colOff>7620</xdr:colOff>
      <xdr:row>25</xdr:row>
      <xdr:rowOff>0</xdr:rowOff>
    </xdr:to>
    <xdr:graphicFrame macro="">
      <xdr:nvGraphicFramePr>
        <xdr:cNvPr id="3" name="Chart 2">
          <a:extLst>
            <a:ext uri="{FF2B5EF4-FFF2-40B4-BE49-F238E27FC236}">
              <a16:creationId xmlns:a16="http://schemas.microsoft.com/office/drawing/2014/main" id="{23E45049-9E83-41EC-A789-9698337B2B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0.00768</cdr:x>
      <cdr:y>0.00856</cdr:y>
    </cdr:from>
    <cdr:to>
      <cdr:x>0.04331</cdr:x>
      <cdr:y>0.11986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D93D0CF7-AA78-8886-034A-E8950359F6D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6680" y="38100"/>
          <a:ext cx="495300" cy="4953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106680</xdr:colOff>
      <xdr:row>1</xdr:row>
      <xdr:rowOff>15240</xdr:rowOff>
    </xdr:from>
    <xdr:to>
      <xdr:col>22</xdr:col>
      <xdr:colOff>601980</xdr:colOff>
      <xdr:row>24</xdr:row>
      <xdr:rowOff>167640</xdr:rowOff>
    </xdr:to>
    <xdr:graphicFrame macro="">
      <xdr:nvGraphicFramePr>
        <xdr:cNvPr id="2" name="Chart 1">
          <a:extLst>
            <a:ext uri="{FF2B5EF4-FFF2-40B4-BE49-F238E27FC236}">
              <a16:creationId xmlns:a16="http://schemas.microsoft.com/office/drawing/2014/main" id="{8983694E-167A-41FB-BF92-A31D868FE4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152400</xdr:colOff>
      <xdr:row>1</xdr:row>
      <xdr:rowOff>22860</xdr:rowOff>
    </xdr:from>
    <xdr:to>
      <xdr:col>1</xdr:col>
      <xdr:colOff>129540</xdr:colOff>
      <xdr:row>4</xdr:row>
      <xdr:rowOff>60960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F291F19-CBDA-3B5A-6651-5B8B9015F87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52400" y="205740"/>
          <a:ext cx="586740" cy="58674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xdr:row>
      <xdr:rowOff>7620</xdr:rowOff>
    </xdr:from>
    <xdr:to>
      <xdr:col>23</xdr:col>
      <xdr:colOff>15240</xdr:colOff>
      <xdr:row>24</xdr:row>
      <xdr:rowOff>7620</xdr:rowOff>
    </xdr:to>
    <xdr:graphicFrame macro="">
      <xdr:nvGraphicFramePr>
        <xdr:cNvPr id="2" name="Chart 1">
          <a:extLst>
            <a:ext uri="{FF2B5EF4-FFF2-40B4-BE49-F238E27FC236}">
              <a16:creationId xmlns:a16="http://schemas.microsoft.com/office/drawing/2014/main" id="{ECBD0DF0-C5D2-4B3A-B857-BBC0DDDC7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0.04251</cdr:x>
      <cdr:y>0.1413</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8935BD43-9C47-BDB2-3E7B-F00A696675E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94360" cy="59436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2592592" createdVersion="5" refreshedVersion="8" minRefreshableVersion="3" recordCount="0" supportSubquery="1" supportAdvancedDrill="1" xr:uid="{851CED68-2362-4DAC-9C32-B90B8A4A2F1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2824077" createdVersion="5" refreshedVersion="8" minRefreshableVersion="3" recordCount="0" supportSubquery="1" supportAdvancedDrill="1" xr:uid="{8A8C8B21-A4AB-4B4C-8263-BF755BC5172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2939815" createdVersion="5" refreshedVersion="8" minRefreshableVersion="3" recordCount="0" supportSubquery="1" supportAdvancedDrill="1" xr:uid="{AC459B85-C6D9-413D-A33E-D344676B507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3055554" createdVersion="5" refreshedVersion="8" minRefreshableVersion="3" recordCount="0" supportSubquery="1" supportAdvancedDrill="1" xr:uid="{2B02C9A5-1253-4516-9142-90678C2FD30F}">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3518516" createdVersion="5" refreshedVersion="8" minRefreshableVersion="3" recordCount="0" supportSubquery="1" supportAdvancedDrill="1" xr:uid="{67653905-B0AB-41AC-8EDF-01AD79809EE4}">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3865739" createdVersion="5" refreshedVersion="8" minRefreshableVersion="3" recordCount="0" supportSubquery="1" supportAdvancedDrill="1" xr:uid="{27A57D74-2BF4-4B72-AA94-18CDE3D467D5}">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4212963" createdVersion="5" refreshedVersion="8" minRefreshableVersion="3" recordCount="0" supportSubquery="1" supportAdvancedDrill="1" xr:uid="{D7E9E9C1-CE58-41E9-8642-7117797B90A0}">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4560186" createdVersion="5" refreshedVersion="8" minRefreshableVersion="3" recordCount="0" supportSubquery="1" supportAdvancedDrill="1" xr:uid="{CE68E835-2696-43B6-8DD8-6ED1369F63E7}">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5023148" createdVersion="5" refreshedVersion="8" minRefreshableVersion="3" recordCount="0" supportSubquery="1" supportAdvancedDrill="1" xr:uid="{BB3AF696-C8A6-4BD4-90DA-0E5D43F336FD}">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5370371" createdVersion="5" refreshedVersion="8" minRefreshableVersion="3" recordCount="0" supportSubquery="1" supportAdvancedDrill="1" xr:uid="{9606ED7D-1B23-43A8-968A-92AD5D47FD72}">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5717594" createdVersion="5" refreshedVersion="8" minRefreshableVersion="3" recordCount="0" supportSubquery="1" supportAdvancedDrill="1" xr:uid="{1C004B16-A688-438E-91D5-42E654CD3771}">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8.493046064817" createdVersion="5" refreshedVersion="8" minRefreshableVersion="3" recordCount="0" supportSubquery="1" supportAdvancedDrill="1" xr:uid="{69785134-282C-4920-A2C7-DBDF2779D49C}">
  <cacheSource type="external" connectionId="3"/>
  <cacheFields count="4">
    <cacheField name="[calendar_Table].[Date (Month)].[Date (Month)]" caption="Date (Month)" numFmtId="0" hierarchy="1" level="1">
      <sharedItems count="1">
        <s v="Jul"/>
      </sharedItems>
    </cacheField>
    <cacheField name="[calendar_Table].[Date].[Date]" caption="Date" numFmtId="0" level="1">
      <sharedItems containsSemiMixedTypes="0" containsNonDate="0" containsDate="1" containsString="0" minDate="2023-07-01T00:00:00" maxDate="2024-08-01T00:00:00" count="62">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shka Nagare" refreshedDate="45847.921031712962" createdVersion="3" refreshedVersion="8" minRefreshableVersion="3" recordCount="0" supportSubquery="1" supportAdvancedDrill="1" xr:uid="{BFE89DE1-8D14-467A-9209-4CD96A5F9FAD}">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8963777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5DE44F-BCBC-45CB-BDD1-605D9D493C94}" name="PivotTable7" cacheId="465" applyNumberFormats="0" applyBorderFormats="0" applyFontFormats="0" applyPatternFormats="0" applyAlignmentFormats="0" applyWidthHeightFormats="1" dataCaption="Values" tag="434df08a-1d01-4ef2-bdd9-08f44ab053c8" updatedVersion="8" minRefreshableVersion="3" itemPrintTitles="1" createdVersion="5" indent="0" outline="1" outlineData="1" multipleFieldFilters="0" chartFormat="2">
  <location ref="L4:N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83">
      <pivotArea outline="0" collapsedLevelsAreSubtotals="1" fieldPosition="0"/>
    </format>
    <format dxfId="18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C074D8E-F20C-44E0-93EC-F1F6E6B50E16}" name="PivotTable10" cacheId="474" applyNumberFormats="0" applyBorderFormats="0" applyFontFormats="0" applyPatternFormats="0" applyAlignmentFormats="0" applyWidthHeightFormats="1" dataCaption="Values" tag="23f709ec-bf7c-459b-b440-0e07a909b5b5" updatedVersion="8" minRefreshableVersion="3" itemPrintTitles="1" createdVersion="5" indent="0" outline="1" outlineData="1" multipleFieldFilters="0" chartFormat="20">
  <location ref="T3:U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84">
      <pivotArea outline="0" collapsedLevelsAreSubtotals="1" fieldPosition="0"/>
    </format>
  </formats>
  <chartFormats count="4">
    <chartFormat chart="13"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65321A-55D3-4EE9-9B39-750D1AC4473E}" name="PivotTable5" cacheId="459" applyNumberFormats="0" applyBorderFormats="0" applyFontFormats="0" applyPatternFormats="0" applyAlignmentFormats="0" applyWidthHeightFormats="1" dataCaption="Values" tag="2e84b8e4-2887-42fe-9f4d-df1959fd7962" updatedVersion="8" minRefreshableVersion="3" itemPrintTitles="1" createdVersion="5" indent="0" outline="1" outlineData="1" multipleFieldFilters="0" chartFormat="19">
  <location ref="F4:G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185">
      <pivotArea collapsedLevelsAreSubtotals="1" fieldPosition="0">
        <references count="1">
          <reference field="0" count="0"/>
        </references>
      </pivotArea>
    </format>
  </formats>
  <chartFormats count="2">
    <chartFormat chart="14"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5BB78A-A69C-4D35-81B9-BB93F4C24584}" name="PivotTable6" cacheId="462" applyNumberFormats="0" applyBorderFormats="0" applyFontFormats="0" applyPatternFormats="0" applyAlignmentFormats="0" applyWidthHeightFormats="1" dataCaption="Values" tag="39389504-d559-4101-bcd8-be5f4bbe74a0" updatedVersion="8" minRefreshableVersion="3" itemPrintTitles="1" createdVersion="5" indent="0" outline="1" outlineData="1" multipleFieldFilters="0" chartFormat="25">
  <location ref="I4:J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86">
      <pivotArea collapsedLevelsAreSubtotals="1" fieldPosition="0">
        <references count="1">
          <reference field="0" count="0"/>
        </references>
      </pivotArea>
    </format>
  </formats>
  <chartFormats count="2">
    <chartFormat chart="22"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D2E73EA-9066-4CD6-9516-DED054F72EE3}" name="PivotTable12" cacheId="480" applyNumberFormats="0" applyBorderFormats="0" applyFontFormats="0" applyPatternFormats="0" applyAlignmentFormats="0" applyWidthHeightFormats="1" dataCaption="Values" tag="03adea5b-dbfa-46fe-aa01-f7209d9f0491" updatedVersion="8" minRefreshableVersion="3" itemPrintTitles="1" createdVersion="5" indent="0" outline="1" outlineData="1" multipleFieldFilters="0" chartFormat="20">
  <location ref="Q22:Q2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87">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5FDD07-E808-4DC2-8F2B-832946081D4D}" name="PivotTable9" cacheId="471" applyNumberFormats="0" applyBorderFormats="0" applyFontFormats="0" applyPatternFormats="0" applyAlignmentFormats="0" applyWidthHeightFormats="1" dataCaption="Values" tag="d30fd026-1bc4-4f7a-bf31-6148e633a25e" updatedVersion="8" minRefreshableVersion="3" itemPrintTitles="1" createdVersion="5" indent="0" outline="1" outlineData="1" multipleFieldFilters="0" chartFormat="13">
  <location ref="Q15:R1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89">
      <pivotArea outline="0" collapsedLevelsAreSubtotals="1" fieldPosition="0"/>
    </format>
    <format dxfId="188">
      <pivotArea collapsedLevelsAreSubtotals="1" fieldPosition="0">
        <references count="1">
          <reference field="1" count="0"/>
        </references>
      </pivotArea>
    </format>
  </format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AAC523-443D-4045-8D8F-6F1D93F45EF0}" name="PivotTable3" cacheId="456" applyNumberFormats="0" applyBorderFormats="0" applyFontFormats="0" applyPatternFormats="0" applyAlignmentFormats="0" applyWidthHeightFormats="1" dataCaption="Values" tag="d1153f1b-75ab-4525-a917-d4dd6e2d1cef" updatedVersion="8" minRefreshableVersion="3"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90">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8E3948-DA98-426C-BABF-4210F70B36FD}" name="PivotTable2" cacheId="453" applyNumberFormats="0" applyBorderFormats="0" applyFontFormats="0" applyPatternFormats="0" applyAlignmentFormats="0" applyWidthHeightFormats="1" dataCaption="Values" tag="06049598-5a50-44e7-abfe-db300bb96748"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91">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F22A81-4383-4FE6-B098-D4784316D6EC}" name="PivotTable8" cacheId="468" applyNumberFormats="0" applyBorderFormats="0" applyFontFormats="0" applyPatternFormats="0" applyAlignmentFormats="0" applyWidthHeightFormats="1" dataCaption="Values" tag="a33c7265-9088-4be7-8d0f-8b5254230335" updatedVersion="8" minRefreshableVersion="3" itemPrintTitles="1" createdVersion="5" indent="0" outline="1" outlineData="1" multipleFieldFilters="0" chartFormat="6">
  <location ref="Q3:R1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93">
      <pivotArea outline="0" collapsedLevelsAreSubtotals="1" fieldPosition="0"/>
    </format>
    <format dxfId="192">
      <pivotArea collapsedLevelsAreSubtotals="1" fieldPosition="0">
        <references count="1">
          <reference field="1" count="0"/>
        </references>
      </pivotArea>
    </format>
  </formats>
  <chartFormats count="1">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D3BBB9-00D6-4E95-8F67-05B32DE5E96B}" name="PivotTable4" cacheId="447" applyNumberFormats="0" applyBorderFormats="0" applyFontFormats="0" applyPatternFormats="0" applyAlignmentFormats="0" applyWidthHeightFormats="1" dataCaption="Values" tag="3d297e6f-f922-4d86-8f3c-d61ae07e83df" updatedVersion="8" minRefreshableVersion="3" itemPrintTitles="1" createdVersion="5" indent="0" outline="1" outlineData="1" multipleFieldFilters="0" chartFormat="11">
  <location ref="C4:D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Number Of Patients" fld="0" subtotal="count" baseField="0" baseItem="0">
      <extLst>
        <ext xmlns:x15="http://schemas.microsoft.com/office/spreadsheetml/2010/11/main" uri="{FABC7310-3BB5-11E1-824E-6D434824019B}">
          <x15:dataField isCountDistinct="1"/>
        </ext>
      </extLst>
    </dataField>
  </dataFields>
  <chartFormats count="2">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35B78B-F534-49AD-BBB1-A32DA5815EE0}" name="PivotTable11" cacheId="477" applyNumberFormats="0" applyBorderFormats="0" applyFontFormats="0" applyPatternFormats="0" applyAlignmentFormats="0" applyWidthHeightFormats="1" dataCaption="Values" tag="937860cf-0803-47c1-bb7e-ed703054439f" updatedVersion="8" minRefreshableVersion="3" itemPrintTitles="1" createdVersion="5" indent="0" outline="1" outlineData="1" multipleFieldFilters="0" chartFormat="28">
  <location ref="T9:U1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6"/>
    </i>
    <i>
      <x v="3"/>
    </i>
    <i>
      <x v="1"/>
    </i>
    <i>
      <x/>
    </i>
    <i>
      <x v="5"/>
    </i>
    <i>
      <x v="2"/>
    </i>
    <i>
      <x v="4"/>
    </i>
    <i t="grand">
      <x/>
    </i>
  </rowItems>
  <colItems count="1">
    <i/>
  </colItems>
  <dataFields count="1">
    <dataField name="Count of Department Referral" fld="2" subtotal="count" baseField="0" baseItem="0"/>
  </dataFields>
  <formats count="2">
    <format dxfId="195">
      <pivotArea outline="0" collapsedLevelsAreSubtotals="1" fieldPosition="0"/>
    </format>
    <format dxfId="194">
      <pivotArea collapsedLevelsAreSubtotals="1" fieldPosition="0">
        <references count="1">
          <reference field="1" count="0"/>
        </references>
      </pivotArea>
    </format>
  </format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8CE7BB-80A4-4565-AA83-4809AD9167F6}" name="PivotTable1" cacheId="450" applyNumberFormats="0" applyBorderFormats="0" applyFontFormats="0" applyPatternFormats="0" applyAlignmentFormats="0" applyWidthHeightFormats="1" dataCaption="Values" tag="2bf55927-df52-41bd-9f24-f1acb9882bee"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Patients"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ber Of Patien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F0B5801-A909-4B7D-839B-698BAF734472}"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1589637770">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B382446-A25D-434C-928D-D67C29096150}"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589637770">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7FC76E2C-F3DF-4203-8989-D6CA1E5BFE53}" cache="Slicer_Date__Year" caption="Date (Year)" columnCount="2" showCaption="0"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A8FDA383-FD53-42CE-9A2F-37B10D0C1161}" cache="Slicer_Date__Month" caption="Date (Month)" showCaption="0" level="1" style="My Style" rowHeight="216000"/>
  <slicer name="Date (Year) 1" xr10:uid="{057DF681-F6DF-4954-B784-6BB1E31470F3}" cache="Slicer_Date__Year" caption="Date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FC094-3857-4F0D-A270-E04A27784F86}">
  <dimension ref="A3:U35"/>
  <sheetViews>
    <sheetView topLeftCell="M1" workbookViewId="0">
      <selection activeCell="Q22" sqref="Q22"/>
    </sheetView>
  </sheetViews>
  <sheetFormatPr defaultRowHeight="14.4" x14ac:dyDescent="0.3"/>
  <cols>
    <col min="1" max="1" width="31.5546875" customWidth="1"/>
    <col min="3" max="3" width="17.77734375" bestFit="1" customWidth="1"/>
    <col min="4" max="4" width="17.5546875" customWidth="1"/>
    <col min="7" max="7" width="25" bestFit="1" customWidth="1"/>
    <col min="10" max="10" width="32.44140625" bestFit="1" customWidth="1"/>
    <col min="12" max="12" width="20.5546875" customWidth="1"/>
    <col min="13" max="13" width="12.5546875" customWidth="1"/>
    <col min="14" max="14" width="14.77734375" customWidth="1"/>
    <col min="15" max="15" width="20" customWidth="1"/>
    <col min="17" max="17" width="12.5546875" bestFit="1" customWidth="1"/>
    <col min="18" max="18" width="28.109375" bestFit="1" customWidth="1"/>
    <col min="19" max="19" width="11.109375" customWidth="1"/>
    <col min="20" max="20" width="15.109375" customWidth="1"/>
    <col min="21" max="21" width="27.109375" bestFit="1" customWidth="1"/>
  </cols>
  <sheetData>
    <row r="3" spans="1:21" x14ac:dyDescent="0.3">
      <c r="Q3" s="1" t="s">
        <v>3</v>
      </c>
      <c r="R3" t="s">
        <v>30</v>
      </c>
      <c r="T3" s="1" t="s">
        <v>3</v>
      </c>
      <c r="U3" t="s">
        <v>32</v>
      </c>
    </row>
    <row r="4" spans="1:21" x14ac:dyDescent="0.3">
      <c r="A4" t="s">
        <v>2</v>
      </c>
      <c r="C4" s="1" t="s">
        <v>3</v>
      </c>
      <c r="D4" t="s">
        <v>2</v>
      </c>
      <c r="F4" s="1" t="s">
        <v>3</v>
      </c>
      <c r="G4" t="s">
        <v>0</v>
      </c>
      <c r="I4" s="1" t="s">
        <v>3</v>
      </c>
      <c r="J4" t="s">
        <v>1</v>
      </c>
      <c r="L4" s="1" t="s">
        <v>3</v>
      </c>
      <c r="M4" t="s">
        <v>25</v>
      </c>
      <c r="N4" t="s">
        <v>26</v>
      </c>
      <c r="Q4" s="4" t="s">
        <v>18</v>
      </c>
      <c r="R4" s="10">
        <v>59</v>
      </c>
      <c r="T4" s="4" t="s">
        <v>10</v>
      </c>
      <c r="U4" s="2">
        <v>239</v>
      </c>
    </row>
    <row r="5" spans="1:21" x14ac:dyDescent="0.3">
      <c r="A5" s="11">
        <v>485</v>
      </c>
      <c r="C5" s="4" t="s">
        <v>37</v>
      </c>
      <c r="D5" s="11">
        <v>17</v>
      </c>
      <c r="F5" s="4" t="s">
        <v>37</v>
      </c>
      <c r="G5" s="2">
        <v>33.352941176470587</v>
      </c>
      <c r="I5" s="4" t="s">
        <v>37</v>
      </c>
      <c r="J5" s="2">
        <v>4.75</v>
      </c>
      <c r="L5" s="4" t="s">
        <v>7</v>
      </c>
      <c r="M5" s="2">
        <v>235</v>
      </c>
      <c r="N5" s="6">
        <v>0.4845360824742268</v>
      </c>
      <c r="Q5" s="4" t="s">
        <v>19</v>
      </c>
      <c r="R5" s="10">
        <v>55</v>
      </c>
      <c r="T5" s="4" t="s">
        <v>5</v>
      </c>
      <c r="U5" s="2">
        <v>246</v>
      </c>
    </row>
    <row r="6" spans="1:21" x14ac:dyDescent="0.3">
      <c r="C6" s="4" t="s">
        <v>38</v>
      </c>
      <c r="D6" s="11">
        <v>10</v>
      </c>
      <c r="F6" s="4" t="s">
        <v>38</v>
      </c>
      <c r="G6" s="2">
        <v>38.4</v>
      </c>
      <c r="I6" s="4" t="s">
        <v>38</v>
      </c>
      <c r="J6" s="2">
        <v>5.2</v>
      </c>
      <c r="L6" s="4" t="s">
        <v>12</v>
      </c>
      <c r="M6" s="2">
        <v>250</v>
      </c>
      <c r="N6" s="6">
        <v>0.51546391752577314</v>
      </c>
      <c r="Q6" s="4" t="s">
        <v>15</v>
      </c>
      <c r="R6" s="10">
        <v>69</v>
      </c>
      <c r="T6" s="4" t="s">
        <v>4</v>
      </c>
      <c r="U6" s="2">
        <v>485</v>
      </c>
    </row>
    <row r="7" spans="1:21" x14ac:dyDescent="0.3">
      <c r="C7" s="4" t="s">
        <v>39</v>
      </c>
      <c r="D7" s="11">
        <v>23</v>
      </c>
      <c r="F7" s="4" t="s">
        <v>39</v>
      </c>
      <c r="G7" s="2">
        <v>38.521739130434781</v>
      </c>
      <c r="I7" s="4" t="s">
        <v>39</v>
      </c>
      <c r="J7" s="2">
        <v>3.375</v>
      </c>
      <c r="L7" s="4" t="s">
        <v>4</v>
      </c>
      <c r="M7" s="2">
        <v>485</v>
      </c>
      <c r="N7" s="6">
        <v>1</v>
      </c>
      <c r="Q7" s="4" t="s">
        <v>17</v>
      </c>
      <c r="R7" s="10">
        <v>64</v>
      </c>
    </row>
    <row r="8" spans="1:21" x14ac:dyDescent="0.3">
      <c r="A8" t="s">
        <v>0</v>
      </c>
      <c r="C8" s="4" t="s">
        <v>40</v>
      </c>
      <c r="D8" s="11">
        <v>15</v>
      </c>
      <c r="F8" s="4" t="s">
        <v>40</v>
      </c>
      <c r="G8" s="2">
        <v>30.4</v>
      </c>
      <c r="I8" s="4" t="s">
        <v>40</v>
      </c>
      <c r="J8" s="2">
        <v>5.8</v>
      </c>
      <c r="Q8" s="4" t="s">
        <v>11</v>
      </c>
      <c r="R8" s="10">
        <v>56</v>
      </c>
    </row>
    <row r="9" spans="1:21" x14ac:dyDescent="0.3">
      <c r="A9" s="2">
        <v>35.507216494845359</v>
      </c>
      <c r="C9" s="4" t="s">
        <v>41</v>
      </c>
      <c r="D9" s="11">
        <v>14</v>
      </c>
      <c r="F9" s="4" t="s">
        <v>41</v>
      </c>
      <c r="G9" s="2">
        <v>33.142857142857146</v>
      </c>
      <c r="I9" s="4" t="s">
        <v>41</v>
      </c>
      <c r="J9" s="2">
        <v>4.375</v>
      </c>
      <c r="Q9" s="4" t="s">
        <v>16</v>
      </c>
      <c r="R9" s="10">
        <v>60</v>
      </c>
      <c r="T9" s="1" t="s">
        <v>3</v>
      </c>
      <c r="U9" t="s">
        <v>35</v>
      </c>
    </row>
    <row r="10" spans="1:21" x14ac:dyDescent="0.3">
      <c r="C10" s="4" t="s">
        <v>42</v>
      </c>
      <c r="D10" s="11">
        <v>11</v>
      </c>
      <c r="F10" s="4" t="s">
        <v>42</v>
      </c>
      <c r="G10" s="2">
        <v>38.18181818181818</v>
      </c>
      <c r="I10" s="4" t="s">
        <v>42</v>
      </c>
      <c r="J10" s="2">
        <v>3</v>
      </c>
      <c r="Q10" s="4" t="s">
        <v>8</v>
      </c>
      <c r="R10" s="10">
        <v>51</v>
      </c>
      <c r="T10" s="4" t="s">
        <v>34</v>
      </c>
      <c r="U10" s="10">
        <v>2</v>
      </c>
    </row>
    <row r="11" spans="1:21" x14ac:dyDescent="0.3">
      <c r="C11" s="4" t="s">
        <v>43</v>
      </c>
      <c r="D11" s="11">
        <v>15</v>
      </c>
      <c r="F11" s="4" t="s">
        <v>43</v>
      </c>
      <c r="G11" s="2">
        <v>39.733333333333334</v>
      </c>
      <c r="I11" s="4" t="s">
        <v>43</v>
      </c>
      <c r="J11" s="2">
        <v>5</v>
      </c>
      <c r="Q11" s="4" t="s">
        <v>13</v>
      </c>
      <c r="R11" s="10">
        <v>71</v>
      </c>
      <c r="T11" s="4" t="s">
        <v>21</v>
      </c>
      <c r="U11" s="10">
        <v>11</v>
      </c>
    </row>
    <row r="12" spans="1:21" x14ac:dyDescent="0.3">
      <c r="A12" t="s">
        <v>1</v>
      </c>
      <c r="C12" s="4" t="s">
        <v>44</v>
      </c>
      <c r="D12" s="11">
        <v>20</v>
      </c>
      <c r="F12" s="4" t="s">
        <v>44</v>
      </c>
      <c r="G12" s="2">
        <v>37</v>
      </c>
      <c r="I12" s="4" t="s">
        <v>44</v>
      </c>
      <c r="J12" s="2">
        <v>3</v>
      </c>
      <c r="Q12" s="4" t="s">
        <v>4</v>
      </c>
      <c r="R12" s="2">
        <v>485</v>
      </c>
      <c r="T12" s="4" t="s">
        <v>33</v>
      </c>
      <c r="U12" s="10">
        <v>12</v>
      </c>
    </row>
    <row r="13" spans="1:21" x14ac:dyDescent="0.3">
      <c r="A13" s="2">
        <v>4.7092198581560281</v>
      </c>
      <c r="C13" s="4" t="s">
        <v>45</v>
      </c>
      <c r="D13" s="11">
        <v>21</v>
      </c>
      <c r="F13" s="4" t="s">
        <v>45</v>
      </c>
      <c r="G13" s="2">
        <v>35.61904761904762</v>
      </c>
      <c r="I13" s="4" t="s">
        <v>45</v>
      </c>
      <c r="J13" s="2">
        <v>4.9090909090909092</v>
      </c>
      <c r="T13" s="4" t="s">
        <v>23</v>
      </c>
      <c r="U13" s="10">
        <v>12</v>
      </c>
    </row>
    <row r="14" spans="1:21" x14ac:dyDescent="0.3">
      <c r="C14" s="4" t="s">
        <v>46</v>
      </c>
      <c r="D14" s="11">
        <v>17</v>
      </c>
      <c r="F14" s="4" t="s">
        <v>46</v>
      </c>
      <c r="G14" s="2">
        <v>34.176470588235297</v>
      </c>
      <c r="I14" s="4" t="s">
        <v>46</v>
      </c>
      <c r="J14" s="2">
        <v>3.8333333333333335</v>
      </c>
      <c r="L14" s="7" t="s">
        <v>27</v>
      </c>
      <c r="M14" s="7" t="s">
        <v>29</v>
      </c>
      <c r="N14" s="7" t="s">
        <v>28</v>
      </c>
      <c r="O14" s="8"/>
      <c r="T14" s="4" t="s">
        <v>22</v>
      </c>
      <c r="U14" s="10">
        <v>13</v>
      </c>
    </row>
    <row r="15" spans="1:21" x14ac:dyDescent="0.3">
      <c r="C15" s="4" t="s">
        <v>47</v>
      </c>
      <c r="D15" s="11">
        <v>17</v>
      </c>
      <c r="F15" s="4" t="s">
        <v>47</v>
      </c>
      <c r="G15" s="2">
        <v>37.176470588235297</v>
      </c>
      <c r="I15" s="4" t="s">
        <v>47</v>
      </c>
      <c r="J15" s="2">
        <v>3.875</v>
      </c>
      <c r="L15" s="9" t="str">
        <f>L6</f>
        <v>Not Admitted</v>
      </c>
      <c r="M15" s="9">
        <f>M6</f>
        <v>250</v>
      </c>
      <c r="N15" s="9">
        <f>N6</f>
        <v>0.51546391752577314</v>
      </c>
      <c r="O15" s="9"/>
      <c r="Q15" s="1" t="s">
        <v>3</v>
      </c>
      <c r="R15" t="s">
        <v>31</v>
      </c>
      <c r="T15" s="4" t="s">
        <v>24</v>
      </c>
      <c r="U15" s="10">
        <v>53</v>
      </c>
    </row>
    <row r="16" spans="1:21" x14ac:dyDescent="0.3">
      <c r="C16" s="4" t="s">
        <v>48</v>
      </c>
      <c r="D16" s="11">
        <v>17</v>
      </c>
      <c r="F16" s="4" t="s">
        <v>48</v>
      </c>
      <c r="G16" s="2">
        <v>36.647058823529413</v>
      </c>
      <c r="I16" s="4" t="s">
        <v>48</v>
      </c>
      <c r="J16" s="2">
        <v>4.333333333333333</v>
      </c>
      <c r="L16" s="9" t="str">
        <f>L5</f>
        <v>Admitted</v>
      </c>
      <c r="M16" s="9">
        <f>M5</f>
        <v>235</v>
      </c>
      <c r="N16" s="9">
        <f>N5</f>
        <v>0.4845360824742268</v>
      </c>
      <c r="O16" s="9"/>
      <c r="Q16" s="4" t="s">
        <v>9</v>
      </c>
      <c r="R16" s="10">
        <v>297</v>
      </c>
      <c r="T16" s="4" t="s">
        <v>20</v>
      </c>
      <c r="U16" s="10">
        <v>91</v>
      </c>
    </row>
    <row r="17" spans="3:21" x14ac:dyDescent="0.3">
      <c r="C17" s="4" t="s">
        <v>49</v>
      </c>
      <c r="D17" s="11">
        <v>17</v>
      </c>
      <c r="F17" s="4" t="s">
        <v>49</v>
      </c>
      <c r="G17" s="2">
        <v>34.941176470588232</v>
      </c>
      <c r="I17" s="4" t="s">
        <v>49</v>
      </c>
      <c r="J17" s="2">
        <v>3.5</v>
      </c>
      <c r="Q17" s="4" t="s">
        <v>14</v>
      </c>
      <c r="R17" s="10">
        <v>188</v>
      </c>
      <c r="T17" s="4" t="s">
        <v>6</v>
      </c>
      <c r="U17" s="10">
        <v>291</v>
      </c>
    </row>
    <row r="18" spans="3:21" x14ac:dyDescent="0.3">
      <c r="C18" s="4" t="s">
        <v>50</v>
      </c>
      <c r="D18" s="11">
        <v>11</v>
      </c>
      <c r="F18" s="4" t="s">
        <v>50</v>
      </c>
      <c r="G18" s="2">
        <v>44</v>
      </c>
      <c r="I18" s="4" t="s">
        <v>50</v>
      </c>
      <c r="J18" s="2">
        <v>5.4</v>
      </c>
      <c r="Q18" s="4" t="s">
        <v>4</v>
      </c>
      <c r="R18" s="2">
        <v>485</v>
      </c>
      <c r="T18" s="4" t="s">
        <v>4</v>
      </c>
      <c r="U18" s="2">
        <v>485</v>
      </c>
    </row>
    <row r="19" spans="3:21" x14ac:dyDescent="0.3">
      <c r="C19" s="4" t="s">
        <v>51</v>
      </c>
      <c r="D19" s="11">
        <v>23</v>
      </c>
      <c r="F19" s="4" t="s">
        <v>51</v>
      </c>
      <c r="G19" s="2">
        <v>38.913043478260867</v>
      </c>
      <c r="I19" s="4" t="s">
        <v>51</v>
      </c>
      <c r="J19" s="2">
        <v>5.375</v>
      </c>
    </row>
    <row r="20" spans="3:21" x14ac:dyDescent="0.3">
      <c r="C20" s="4" t="s">
        <v>52</v>
      </c>
      <c r="D20" s="11">
        <v>14</v>
      </c>
      <c r="F20" s="4" t="s">
        <v>52</v>
      </c>
      <c r="G20" s="2">
        <v>31</v>
      </c>
      <c r="I20" s="4" t="s">
        <v>52</v>
      </c>
      <c r="J20" s="2">
        <v>3.3333333333333335</v>
      </c>
    </row>
    <row r="21" spans="3:21" x14ac:dyDescent="0.3">
      <c r="C21" s="4" t="s">
        <v>53</v>
      </c>
      <c r="D21" s="11">
        <v>22</v>
      </c>
      <c r="F21" s="4" t="s">
        <v>53</v>
      </c>
      <c r="G21" s="2">
        <v>34.227272727272727</v>
      </c>
      <c r="I21" s="4" t="s">
        <v>53</v>
      </c>
      <c r="J21" s="2">
        <v>6.2</v>
      </c>
    </row>
    <row r="22" spans="3:21" x14ac:dyDescent="0.3">
      <c r="C22" s="4" t="s">
        <v>54</v>
      </c>
      <c r="D22" s="11">
        <v>16</v>
      </c>
      <c r="F22" s="4" t="s">
        <v>54</v>
      </c>
      <c r="G22" s="2">
        <v>31</v>
      </c>
      <c r="I22" s="4" t="s">
        <v>54</v>
      </c>
      <c r="J22" s="2">
        <v>1.6666666666666667</v>
      </c>
      <c r="Q22" s="1" t="s">
        <v>3</v>
      </c>
    </row>
    <row r="23" spans="3:21" x14ac:dyDescent="0.3">
      <c r="C23" s="4" t="s">
        <v>55</v>
      </c>
      <c r="D23" s="11">
        <v>13</v>
      </c>
      <c r="F23" s="4" t="s">
        <v>55</v>
      </c>
      <c r="G23" s="2">
        <v>32.153846153846153</v>
      </c>
      <c r="I23" s="4" t="s">
        <v>55</v>
      </c>
      <c r="J23" s="2">
        <v>4.5</v>
      </c>
      <c r="Q23" s="4" t="s">
        <v>36</v>
      </c>
    </row>
    <row r="24" spans="3:21" x14ac:dyDescent="0.3">
      <c r="C24" s="4" t="s">
        <v>56</v>
      </c>
      <c r="D24" s="11">
        <v>14</v>
      </c>
      <c r="F24" s="4" t="s">
        <v>56</v>
      </c>
      <c r="G24" s="2">
        <v>32.785714285714285</v>
      </c>
      <c r="I24" s="4" t="s">
        <v>56</v>
      </c>
      <c r="J24" s="2">
        <v>7.666666666666667</v>
      </c>
      <c r="Q24" s="4" t="s">
        <v>4</v>
      </c>
    </row>
    <row r="25" spans="3:21" x14ac:dyDescent="0.3">
      <c r="C25" s="4" t="s">
        <v>57</v>
      </c>
      <c r="D25" s="11">
        <v>12</v>
      </c>
      <c r="F25" s="4" t="s">
        <v>57</v>
      </c>
      <c r="G25" s="2">
        <v>30</v>
      </c>
      <c r="I25" s="4" t="s">
        <v>57</v>
      </c>
      <c r="J25" s="2">
        <v>4.4000000000000004</v>
      </c>
    </row>
    <row r="26" spans="3:21" x14ac:dyDescent="0.3">
      <c r="C26" s="4" t="s">
        <v>58</v>
      </c>
      <c r="D26" s="11">
        <v>12</v>
      </c>
      <c r="F26" s="4" t="s">
        <v>58</v>
      </c>
      <c r="G26" s="2">
        <v>33.5</v>
      </c>
      <c r="I26" s="4" t="s">
        <v>58</v>
      </c>
      <c r="J26" s="2">
        <v>6.5</v>
      </c>
    </row>
    <row r="27" spans="3:21" x14ac:dyDescent="0.3">
      <c r="C27" s="4" t="s">
        <v>59</v>
      </c>
      <c r="D27" s="11">
        <v>20</v>
      </c>
      <c r="F27" s="4" t="s">
        <v>59</v>
      </c>
      <c r="G27" s="2">
        <v>32.950000000000003</v>
      </c>
      <c r="I27" s="4" t="s">
        <v>59</v>
      </c>
      <c r="J27" s="2">
        <v>5</v>
      </c>
    </row>
    <row r="28" spans="3:21" x14ac:dyDescent="0.3">
      <c r="C28" s="4" t="s">
        <v>60</v>
      </c>
      <c r="D28" s="11">
        <v>19</v>
      </c>
      <c r="F28" s="4" t="s">
        <v>60</v>
      </c>
      <c r="G28" s="2">
        <v>35.842105263157897</v>
      </c>
      <c r="I28" s="4" t="s">
        <v>60</v>
      </c>
      <c r="J28" s="2">
        <v>5.25</v>
      </c>
    </row>
    <row r="29" spans="3:21" x14ac:dyDescent="0.3">
      <c r="C29" s="4" t="s">
        <v>61</v>
      </c>
      <c r="D29" s="11">
        <v>13</v>
      </c>
      <c r="F29" s="4" t="s">
        <v>61</v>
      </c>
      <c r="G29" s="2">
        <v>33.846153846153847</v>
      </c>
      <c r="I29" s="4" t="s">
        <v>61</v>
      </c>
      <c r="J29" s="2">
        <v>4.75</v>
      </c>
    </row>
    <row r="30" spans="3:21" x14ac:dyDescent="0.3">
      <c r="C30" s="4" t="s">
        <v>62</v>
      </c>
      <c r="D30" s="11">
        <v>15</v>
      </c>
      <c r="F30" s="4" t="s">
        <v>62</v>
      </c>
      <c r="G30" s="2">
        <v>39.06666666666667</v>
      </c>
      <c r="I30" s="4" t="s">
        <v>62</v>
      </c>
      <c r="J30" s="2">
        <v>5</v>
      </c>
    </row>
    <row r="31" spans="3:21" x14ac:dyDescent="0.3">
      <c r="C31" s="4" t="s">
        <v>63</v>
      </c>
      <c r="D31" s="11">
        <v>19</v>
      </c>
      <c r="F31" s="4" t="s">
        <v>63</v>
      </c>
      <c r="G31" s="2">
        <v>36.684210526315788</v>
      </c>
      <c r="I31" s="4" t="s">
        <v>63</v>
      </c>
      <c r="J31" s="2">
        <v>4</v>
      </c>
    </row>
    <row r="32" spans="3:21" x14ac:dyDescent="0.3">
      <c r="C32" s="4" t="s">
        <v>64</v>
      </c>
      <c r="D32" s="11">
        <v>17</v>
      </c>
      <c r="F32" s="4" t="s">
        <v>64</v>
      </c>
      <c r="G32" s="2">
        <v>33.764705882352942</v>
      </c>
      <c r="I32" s="4" t="s">
        <v>64</v>
      </c>
      <c r="J32" s="2">
        <v>5.333333333333333</v>
      </c>
    </row>
    <row r="33" spans="3:10" x14ac:dyDescent="0.3">
      <c r="C33" s="4" t="s">
        <v>65</v>
      </c>
      <c r="D33" s="11">
        <v>15</v>
      </c>
      <c r="F33" s="4" t="s">
        <v>65</v>
      </c>
      <c r="G33" s="2">
        <v>34.533333333333331</v>
      </c>
      <c r="I33" s="4" t="s">
        <v>65</v>
      </c>
      <c r="J33" s="2">
        <v>6</v>
      </c>
    </row>
    <row r="34" spans="3:10" x14ac:dyDescent="0.3">
      <c r="C34" s="4" t="s">
        <v>66</v>
      </c>
      <c r="D34" s="11">
        <v>16</v>
      </c>
      <c r="F34" s="4" t="s">
        <v>66</v>
      </c>
      <c r="G34" s="2">
        <v>42.125</v>
      </c>
      <c r="I34" s="4" t="s">
        <v>66</v>
      </c>
      <c r="J34" s="2">
        <v>6.333333333333333</v>
      </c>
    </row>
    <row r="35" spans="3:10" x14ac:dyDescent="0.3">
      <c r="C35" s="4" t="s">
        <v>4</v>
      </c>
      <c r="D35" s="11">
        <v>485</v>
      </c>
      <c r="F35" s="4" t="s">
        <v>4</v>
      </c>
      <c r="G35" s="11">
        <v>35.507216494845359</v>
      </c>
      <c r="I35" s="4" t="s">
        <v>4</v>
      </c>
      <c r="J35" s="11">
        <v>4.7092198581560281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A8C60-C7E0-4644-A360-92258C729FAA}">
  <dimension ref="A1"/>
  <sheetViews>
    <sheetView showGridLines="0" showRowColHeaders="0" tabSelected="1" zoomScale="152" workbookViewId="0">
      <selection activeCell="P27" sqref="P27"/>
    </sheetView>
  </sheetViews>
  <sheetFormatPr defaultRowHeight="14.4" x14ac:dyDescent="0.3"/>
  <cols>
    <col min="1" max="16384" width="8.8867187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059AC-580F-4C8E-B5AB-25092FB08ECB}">
  <dimension ref="A1:I16"/>
  <sheetViews>
    <sheetView showGridLines="0" zoomScale="91" workbookViewId="0"/>
  </sheetViews>
  <sheetFormatPr defaultRowHeight="14.4" x14ac:dyDescent="0.3"/>
  <sheetData>
    <row r="1" spans="1:9" x14ac:dyDescent="0.3">
      <c r="A1" s="5"/>
      <c r="B1" s="5"/>
      <c r="C1" s="5"/>
      <c r="D1" s="5"/>
      <c r="E1" s="5"/>
      <c r="F1" s="5"/>
      <c r="G1" s="5"/>
      <c r="H1" s="5"/>
      <c r="I1" s="5"/>
    </row>
    <row r="2" spans="1:9" x14ac:dyDescent="0.3">
      <c r="A2" s="5"/>
      <c r="B2" s="5"/>
      <c r="C2" s="5"/>
      <c r="D2" s="5"/>
      <c r="E2" s="5"/>
      <c r="F2" s="5"/>
      <c r="G2" s="5"/>
      <c r="H2" s="5"/>
      <c r="I2" s="5"/>
    </row>
    <row r="3" spans="1:9" x14ac:dyDescent="0.3">
      <c r="A3" s="5"/>
      <c r="B3" s="5"/>
      <c r="C3" s="5"/>
      <c r="D3" s="5"/>
      <c r="E3" s="5"/>
      <c r="F3" s="5"/>
      <c r="G3" s="5"/>
      <c r="H3" s="5"/>
      <c r="I3" s="5"/>
    </row>
    <row r="4" spans="1:9" x14ac:dyDescent="0.3">
      <c r="A4" s="5"/>
      <c r="B4" s="5"/>
      <c r="C4" s="5"/>
      <c r="D4" s="5"/>
      <c r="E4" s="5"/>
      <c r="F4" s="5"/>
      <c r="G4" s="5"/>
      <c r="H4" s="5"/>
      <c r="I4" s="5"/>
    </row>
    <row r="5" spans="1:9" x14ac:dyDescent="0.3">
      <c r="A5" s="5"/>
      <c r="B5" s="5"/>
      <c r="C5" s="5"/>
      <c r="D5" s="5"/>
      <c r="E5" s="5"/>
      <c r="F5" s="5"/>
      <c r="G5" s="5"/>
      <c r="H5" s="5"/>
      <c r="I5" s="5"/>
    </row>
    <row r="6" spans="1:9" x14ac:dyDescent="0.3">
      <c r="A6" s="5"/>
      <c r="B6" s="5"/>
      <c r="C6" s="5"/>
      <c r="D6" s="5"/>
      <c r="E6" s="5"/>
      <c r="F6" s="5"/>
      <c r="G6" s="5"/>
      <c r="H6" s="5"/>
      <c r="I6" s="5"/>
    </row>
    <row r="7" spans="1:9" x14ac:dyDescent="0.3">
      <c r="A7" s="5"/>
      <c r="B7" s="5"/>
      <c r="C7" s="5"/>
      <c r="D7" s="5"/>
      <c r="E7" s="5"/>
      <c r="F7" s="5"/>
      <c r="G7" s="5"/>
      <c r="H7" s="5"/>
      <c r="I7" s="5"/>
    </row>
    <row r="8" spans="1:9" x14ac:dyDescent="0.3">
      <c r="A8" s="5"/>
      <c r="B8" s="5"/>
      <c r="C8" s="5"/>
      <c r="D8" s="5"/>
      <c r="E8" s="5"/>
      <c r="F8" s="5"/>
      <c r="G8" s="5"/>
      <c r="H8" s="5"/>
      <c r="I8" s="5"/>
    </row>
    <row r="9" spans="1:9" x14ac:dyDescent="0.3">
      <c r="A9" s="5"/>
      <c r="B9" s="5"/>
      <c r="C9" s="5"/>
      <c r="D9" s="5"/>
      <c r="E9" s="5"/>
      <c r="F9" s="5"/>
      <c r="G9" s="5"/>
      <c r="H9" s="5"/>
      <c r="I9" s="5"/>
    </row>
    <row r="10" spans="1:9" x14ac:dyDescent="0.3">
      <c r="A10" s="5"/>
      <c r="B10" s="5"/>
      <c r="C10" s="5"/>
      <c r="D10" s="5"/>
      <c r="E10" s="5"/>
      <c r="F10" s="5"/>
      <c r="G10" s="5"/>
      <c r="H10" s="5"/>
      <c r="I10" s="5"/>
    </row>
    <row r="11" spans="1:9" x14ac:dyDescent="0.3">
      <c r="A11" s="5"/>
      <c r="B11" s="5"/>
      <c r="C11" s="5"/>
      <c r="D11" s="5"/>
      <c r="E11" s="5"/>
      <c r="F11" s="5"/>
      <c r="G11" s="5"/>
      <c r="H11" s="5"/>
      <c r="I11" s="5"/>
    </row>
    <row r="12" spans="1:9" x14ac:dyDescent="0.3">
      <c r="A12" s="5"/>
      <c r="B12" s="5"/>
      <c r="C12" s="5"/>
      <c r="D12" s="5"/>
      <c r="E12" s="5"/>
      <c r="F12" s="5"/>
      <c r="G12" s="5"/>
      <c r="H12" s="5"/>
      <c r="I12" s="5"/>
    </row>
    <row r="13" spans="1:9" x14ac:dyDescent="0.3">
      <c r="A13" s="5"/>
      <c r="B13" s="5"/>
      <c r="C13" s="5"/>
      <c r="D13" s="5"/>
      <c r="E13" s="5"/>
      <c r="F13" s="5"/>
      <c r="G13" s="5"/>
      <c r="H13" s="5"/>
      <c r="I13" s="5"/>
    </row>
    <row r="14" spans="1:9" x14ac:dyDescent="0.3">
      <c r="A14" s="5"/>
      <c r="B14" s="5"/>
      <c r="C14" s="5"/>
      <c r="D14" s="5"/>
      <c r="E14" s="5"/>
      <c r="F14" s="5"/>
      <c r="G14" s="5"/>
      <c r="H14" s="5"/>
      <c r="I14" s="5"/>
    </row>
    <row r="15" spans="1:9" x14ac:dyDescent="0.3">
      <c r="A15" s="5"/>
      <c r="B15" s="5"/>
      <c r="C15" s="5"/>
      <c r="D15" s="5"/>
      <c r="E15" s="5"/>
      <c r="F15" s="5"/>
      <c r="G15" s="5"/>
      <c r="H15" s="5"/>
      <c r="I15" s="5"/>
    </row>
    <row r="16" spans="1:9" x14ac:dyDescent="0.3">
      <c r="A16" s="5"/>
      <c r="B16" s="5"/>
      <c r="C16" s="5"/>
      <c r="D16" s="5"/>
      <c r="E16" s="5"/>
      <c r="F16" s="5"/>
      <c r="G16" s="5"/>
      <c r="H16" s="5"/>
      <c r="I16"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4AA81-247A-42E1-8D7B-ECCC9CDE206B}">
  <dimension ref="A1"/>
  <sheetViews>
    <sheetView showGridLines="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3F41D-299E-4D3C-ABC2-E6E7F9505B4E}">
  <dimension ref="A1"/>
  <sheetViews>
    <sheetView showGridLines="0"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DC05168-10BA-4BB7-B003-30A0F1302926}">
  <ds:schemaRefs/>
</ds:datastoreItem>
</file>

<file path=customXml/itemProps2.xml><?xml version="1.0" encoding="utf-8"?>
<ds:datastoreItem xmlns:ds="http://schemas.openxmlformats.org/officeDocument/2006/customXml" ds:itemID="{24AE1AF7-4A35-4C68-9DE2-6B9099FF2170}">
  <ds:schemaRefs/>
</ds:datastoreItem>
</file>

<file path=customXml/itemProps3.xml><?xml version="1.0" encoding="utf-8"?>
<ds:datastoreItem xmlns:ds="http://schemas.openxmlformats.org/officeDocument/2006/customXml" ds:itemID="{B4F8EE83-BFD9-4A3A-820A-35645CEFE718}">
  <ds:schemaRefs/>
</ds:datastoreItem>
</file>

<file path=customXml/itemProps4.xml><?xml version="1.0" encoding="utf-8"?>
<ds:datastoreItem xmlns:ds="http://schemas.openxmlformats.org/officeDocument/2006/customXml" ds:itemID="{1F266B16-73B8-42F4-9503-358304A38CE7}">
  <ds:schemaRefs/>
</ds:datastoreItem>
</file>

<file path=customXml/itemProps5.xml><?xml version="1.0" encoding="utf-8"?>
<ds:datastoreItem xmlns:ds="http://schemas.openxmlformats.org/officeDocument/2006/customXml" ds:itemID="{C7A4D0AE-B873-4095-AEB6-2CCA7937F38A}">
  <ds:schemaRefs/>
</ds:datastoreItem>
</file>

<file path=customXml/itemProps6.xml><?xml version="1.0" encoding="utf-8"?>
<ds:datastoreItem xmlns:ds="http://schemas.openxmlformats.org/officeDocument/2006/customXml" ds:itemID="{DF7A8E3B-B226-4969-8C79-54D72E29599B}">
  <ds:schemaRefs/>
</ds:datastoreItem>
</file>

<file path=customXml/itemProps7.xml><?xml version="1.0" encoding="utf-8"?>
<ds:datastoreItem xmlns:ds="http://schemas.openxmlformats.org/officeDocument/2006/customXml" ds:itemID="{C2D2E008-1D21-4885-A325-C37547031927}">
  <ds:schemaRefs/>
</ds:datastoreItem>
</file>

<file path=customXml/itemProps8.xml><?xml version="1.0" encoding="utf-8"?>
<ds:datastoreItem xmlns:ds="http://schemas.openxmlformats.org/officeDocument/2006/customXml" ds:itemID="{04B8B9C0-BA34-4796-A28D-B02BD64C5FA1}">
  <ds:schemaRefs/>
</ds:datastoreItem>
</file>

<file path=customXml/itemProps9.xml><?xml version="1.0" encoding="utf-8"?>
<ds:datastoreItem xmlns:ds="http://schemas.openxmlformats.org/officeDocument/2006/customXml" ds:itemID="{8DC18558-A323-49F8-A441-2A2DFF173E78}">
  <ds:schemaRefs/>
</ds:datastoreItem>
</file>

<file path=customXml/itemProps10.xml><?xml version="1.0" encoding="utf-8"?>
<ds:datastoreItem xmlns:ds="http://schemas.openxmlformats.org/officeDocument/2006/customXml" ds:itemID="{C2D61E7D-1A7E-4419-946B-75BC8EA9339A}">
  <ds:schemaRefs/>
</ds:datastoreItem>
</file>

<file path=customXml/itemProps11.xml><?xml version="1.0" encoding="utf-8"?>
<ds:datastoreItem xmlns:ds="http://schemas.openxmlformats.org/officeDocument/2006/customXml" ds:itemID="{AC505502-0EE5-43F6-A5EC-7358246EE663}">
  <ds:schemaRefs/>
</ds:datastoreItem>
</file>

<file path=customXml/itemProps12.xml><?xml version="1.0" encoding="utf-8"?>
<ds:datastoreItem xmlns:ds="http://schemas.openxmlformats.org/officeDocument/2006/customXml" ds:itemID="{A1393D32-9812-4D35-BE6E-6CC09A670203}">
  <ds:schemaRefs/>
</ds:datastoreItem>
</file>

<file path=customXml/itemProps13.xml><?xml version="1.0" encoding="utf-8"?>
<ds:datastoreItem xmlns:ds="http://schemas.openxmlformats.org/officeDocument/2006/customXml" ds:itemID="{BC336087-22AC-406E-BF23-4281E5E7D8B2}">
  <ds:schemaRefs/>
</ds:datastoreItem>
</file>

<file path=customXml/itemProps14.xml><?xml version="1.0" encoding="utf-8"?>
<ds:datastoreItem xmlns:ds="http://schemas.openxmlformats.org/officeDocument/2006/customXml" ds:itemID="{E4FF45C3-AAD4-4574-BD43-44F04354F22B}">
  <ds:schemaRefs>
    <ds:schemaRef ds:uri="http://schemas.microsoft.com/DataMashup"/>
  </ds:schemaRefs>
</ds:datastoreItem>
</file>

<file path=customXml/itemProps15.xml><?xml version="1.0" encoding="utf-8"?>
<ds:datastoreItem xmlns:ds="http://schemas.openxmlformats.org/officeDocument/2006/customXml" ds:itemID="{061EC089-E694-4B79-A029-12CA9411F180}">
  <ds:schemaRefs/>
</ds:datastoreItem>
</file>

<file path=customXml/itemProps16.xml><?xml version="1.0" encoding="utf-8"?>
<ds:datastoreItem xmlns:ds="http://schemas.openxmlformats.org/officeDocument/2006/customXml" ds:itemID="{B8D32FED-2F69-45A7-A04F-5FD8DACBB76F}">
  <ds:schemaRefs/>
</ds:datastoreItem>
</file>

<file path=customXml/itemProps17.xml><?xml version="1.0" encoding="utf-8"?>
<ds:datastoreItem xmlns:ds="http://schemas.openxmlformats.org/officeDocument/2006/customXml" ds:itemID="{32243B99-9747-49AA-B6F8-93F53AD21C98}">
  <ds:schemaRefs/>
</ds:datastoreItem>
</file>

<file path=customXml/itemProps18.xml><?xml version="1.0" encoding="utf-8"?>
<ds:datastoreItem xmlns:ds="http://schemas.openxmlformats.org/officeDocument/2006/customXml" ds:itemID="{FED1CDDD-D9D9-4810-84C2-486DE769DFA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Patients</vt:lpstr>
      <vt:lpstr>Daily Patients Waittime</vt:lpstr>
      <vt:lpstr>Patients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Anushka Nagare</dc:creator>
  <cp:lastModifiedBy>Anushka Nagare</cp:lastModifiedBy>
  <dcterms:created xsi:type="dcterms:W3CDTF">2025-07-09T11:47:14Z</dcterms:created>
  <dcterms:modified xsi:type="dcterms:W3CDTF">2025-07-10T06:21:25Z</dcterms:modified>
</cp:coreProperties>
</file>